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11.xml" ContentType="application/vnd.openxmlformats-officedocument.spreadsheetml.pivotTab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bde29a66e3c8d90/Рабочий стол/"/>
    </mc:Choice>
  </mc:AlternateContent>
  <xr:revisionPtr revIDLastSave="0" documentId="8_{7CAF47E8-7223-4885-AB99-A8A8CAEB8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ile" sheetId="1" r:id="rId1"/>
    <sheet name="decile 1" sheetId="2" r:id="rId2"/>
    <sheet name="cohort" sheetId="3" r:id="rId3"/>
    <sheet name="cohort 2" sheetId="4" r:id="rId4"/>
    <sheet name="3 cohorts" sheetId="5" r:id="rId5"/>
    <sheet name="year sum" sheetId="6" r:id="rId6"/>
    <sheet name="histogram" sheetId="7" r:id="rId7"/>
    <sheet name="Sheet6" sheetId="8" r:id="rId8"/>
    <sheet name="2. Bins" sheetId="9" r:id="rId9"/>
    <sheet name="4. Bins" sheetId="10" r:id="rId10"/>
    <sheet name="questions" sheetId="11" r:id="rId11"/>
    <sheet name="5. contingency" sheetId="12" r:id="rId12"/>
    <sheet name="scatterplot 1" sheetId="13" r:id="rId13"/>
    <sheet name="scp2" sheetId="14" r:id="rId14"/>
    <sheet name="scp3" sheetId="15" r:id="rId15"/>
    <sheet name="make it in a different style" sheetId="16" r:id="rId16"/>
    <sheet name="Polygon" sheetId="17" r:id="rId17"/>
    <sheet name="Ogive" sheetId="18" r:id="rId18"/>
    <sheet name="sl" sheetId="19" r:id="rId19"/>
    <sheet name="EXERCISE" sheetId="20" r:id="rId20"/>
  </sheets>
  <definedNames>
    <definedName name="_xlnm._FilterDatabase" localSheetId="12" hidden="1">'scatterplot 1'!$A$1:$D$41</definedName>
    <definedName name="_xlnm._FilterDatabase" localSheetId="13" hidden="1">'scp2'!$A$1:$C$41</definedName>
  </definedNames>
  <calcPr calcId="191029"/>
  <pivotCaches>
    <pivotCache cacheId="16" r:id="rId21"/>
    <pivotCache cacheId="20" r:id="rId22"/>
    <pivotCache cacheId="24" r:id="rId23"/>
    <pivotCache cacheId="28" r:id="rId24"/>
    <pivotCache cacheId="33" r:id="rId25"/>
    <pivotCache cacheId="38" r:id="rId26"/>
    <pivotCache cacheId="42" r:id="rId27"/>
    <pivotCache cacheId="46" r:id="rId28"/>
    <pivotCache cacheId="50" r:id="rId29"/>
    <pivotCache cacheId="54" r:id="rId30"/>
    <pivotCache cacheId="58" r:id="rId31"/>
    <pivotCache cacheId="62" r:id="rId32"/>
    <pivotCache cacheId="66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0" l="1"/>
  <c r="D16" i="20"/>
  <c r="D14" i="20"/>
  <c r="D13" i="20"/>
  <c r="D15" i="20" s="1"/>
  <c r="D12" i="20"/>
  <c r="E16" i="18"/>
  <c r="E17" i="18" s="1"/>
  <c r="E18" i="18" s="1"/>
  <c r="E19" i="18" s="1"/>
  <c r="E20" i="18" s="1"/>
  <c r="D16" i="18"/>
  <c r="D17" i="18" s="1"/>
  <c r="D18" i="18" s="1"/>
  <c r="D19" i="18" s="1"/>
  <c r="D20" i="18" s="1"/>
  <c r="E15" i="18"/>
  <c r="D15" i="18"/>
  <c r="G10" i="17"/>
  <c r="G9" i="17"/>
  <c r="G8" i="17"/>
  <c r="G7" i="17"/>
  <c r="G6" i="17"/>
  <c r="G5" i="17"/>
  <c r="G4" i="17"/>
  <c r="F4" i="17"/>
  <c r="F3" i="17" s="1"/>
  <c r="H3" i="11"/>
  <c r="H4" i="11" s="1"/>
  <c r="H5" i="11" s="1"/>
  <c r="H6" i="11" s="1"/>
  <c r="D3" i="11"/>
  <c r="D2" i="11"/>
  <c r="D4" i="11" s="1"/>
  <c r="D5" i="11" s="1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D3" i="9"/>
  <c r="D2" i="9"/>
  <c r="D4" i="9" s="1"/>
  <c r="D5" i="9" s="1"/>
  <c r="K19" i="6"/>
  <c r="J19" i="6"/>
  <c r="I19" i="6"/>
  <c r="H19" i="6"/>
  <c r="K18" i="6"/>
  <c r="J18" i="6"/>
  <c r="I18" i="6"/>
  <c r="H18" i="6"/>
  <c r="K17" i="6"/>
  <c r="J17" i="6"/>
  <c r="I17" i="6"/>
  <c r="H17" i="6"/>
  <c r="K16" i="6"/>
  <c r="J16" i="6"/>
  <c r="I16" i="6"/>
  <c r="H16" i="6"/>
  <c r="K15" i="6"/>
  <c r="J15" i="6"/>
  <c r="I15" i="6"/>
  <c r="H15" i="6"/>
  <c r="K14" i="6"/>
  <c r="J14" i="6"/>
  <c r="I14" i="6"/>
  <c r="H14" i="6"/>
  <c r="K10" i="6"/>
  <c r="J10" i="6"/>
  <c r="I10" i="6"/>
  <c r="H10" i="6"/>
  <c r="K9" i="6"/>
  <c r="J9" i="6"/>
  <c r="I9" i="6"/>
  <c r="H9" i="6"/>
  <c r="K8" i="6"/>
  <c r="J8" i="6"/>
  <c r="I8" i="6"/>
  <c r="H8" i="6"/>
  <c r="K7" i="6"/>
  <c r="J7" i="6"/>
  <c r="I7" i="6"/>
  <c r="H7" i="6"/>
  <c r="K6" i="6"/>
  <c r="J6" i="6"/>
  <c r="I6" i="6"/>
  <c r="H6" i="6"/>
  <c r="K5" i="6"/>
  <c r="J5" i="6"/>
  <c r="I5" i="6"/>
  <c r="H5" i="6"/>
  <c r="K1" i="6"/>
  <c r="J1" i="6"/>
  <c r="I1" i="6"/>
  <c r="H1" i="6"/>
  <c r="E73" i="5"/>
  <c r="D73" i="5"/>
  <c r="C73" i="5"/>
  <c r="I72" i="5"/>
  <c r="U37" i="5" s="1"/>
  <c r="H72" i="5"/>
  <c r="G72" i="5"/>
  <c r="R37" i="5" s="1"/>
  <c r="F72" i="5"/>
  <c r="O37" i="5" s="1"/>
  <c r="I71" i="5"/>
  <c r="U36" i="5" s="1"/>
  <c r="H71" i="5"/>
  <c r="G71" i="5"/>
  <c r="R36" i="5" s="1"/>
  <c r="F71" i="5"/>
  <c r="O36" i="5" s="1"/>
  <c r="I70" i="5"/>
  <c r="H70" i="5"/>
  <c r="G70" i="5"/>
  <c r="R35" i="5" s="1"/>
  <c r="F70" i="5"/>
  <c r="I69" i="5"/>
  <c r="H69" i="5"/>
  <c r="G69" i="5"/>
  <c r="F69" i="5"/>
  <c r="O34" i="5" s="1"/>
  <c r="I68" i="5"/>
  <c r="U33" i="5" s="1"/>
  <c r="H68" i="5"/>
  <c r="G68" i="5"/>
  <c r="F68" i="5"/>
  <c r="I67" i="5"/>
  <c r="U32" i="5" s="1"/>
  <c r="H67" i="5"/>
  <c r="G67" i="5"/>
  <c r="R32" i="5" s="1"/>
  <c r="F67" i="5"/>
  <c r="O32" i="5" s="1"/>
  <c r="I66" i="5"/>
  <c r="U31" i="5" s="1"/>
  <c r="H66" i="5"/>
  <c r="G66" i="5"/>
  <c r="F66" i="5"/>
  <c r="I65" i="5"/>
  <c r="H65" i="5"/>
  <c r="G65" i="5"/>
  <c r="R30" i="5" s="1"/>
  <c r="F65" i="5"/>
  <c r="O30" i="5" s="1"/>
  <c r="I64" i="5"/>
  <c r="H64" i="5"/>
  <c r="G64" i="5"/>
  <c r="F64" i="5"/>
  <c r="O29" i="5" s="1"/>
  <c r="E55" i="5"/>
  <c r="D55" i="5"/>
  <c r="C55" i="5"/>
  <c r="I54" i="5"/>
  <c r="T37" i="5" s="1"/>
  <c r="H54" i="5"/>
  <c r="G54" i="5"/>
  <c r="F54" i="5"/>
  <c r="I53" i="5"/>
  <c r="T36" i="5" s="1"/>
  <c r="H53" i="5"/>
  <c r="G53" i="5"/>
  <c r="Q36" i="5" s="1"/>
  <c r="F53" i="5"/>
  <c r="I52" i="5"/>
  <c r="H52" i="5"/>
  <c r="G52" i="5"/>
  <c r="Q35" i="5" s="1"/>
  <c r="F52" i="5"/>
  <c r="N35" i="5" s="1"/>
  <c r="I51" i="5"/>
  <c r="H51" i="5"/>
  <c r="G51" i="5"/>
  <c r="F51" i="5"/>
  <c r="N34" i="5" s="1"/>
  <c r="I50" i="5"/>
  <c r="T33" i="5" s="1"/>
  <c r="H50" i="5"/>
  <c r="G50" i="5"/>
  <c r="F50" i="5"/>
  <c r="I49" i="5"/>
  <c r="H49" i="5"/>
  <c r="G49" i="5"/>
  <c r="F49" i="5"/>
  <c r="I48" i="5"/>
  <c r="T31" i="5" s="1"/>
  <c r="H48" i="5"/>
  <c r="G48" i="5"/>
  <c r="Q31" i="5" s="1"/>
  <c r="F48" i="5"/>
  <c r="N31" i="5" s="1"/>
  <c r="I47" i="5"/>
  <c r="H47" i="5"/>
  <c r="G47" i="5"/>
  <c r="Q30" i="5" s="1"/>
  <c r="F47" i="5"/>
  <c r="N30" i="5" s="1"/>
  <c r="I46" i="5"/>
  <c r="T29" i="5" s="1"/>
  <c r="H46" i="5"/>
  <c r="G46" i="5"/>
  <c r="F46" i="5"/>
  <c r="I45" i="5"/>
  <c r="H45" i="5"/>
  <c r="G45" i="5"/>
  <c r="F45" i="5"/>
  <c r="I44" i="5"/>
  <c r="T27" i="5" s="1"/>
  <c r="H44" i="5"/>
  <c r="G44" i="5"/>
  <c r="Q27" i="5" s="1"/>
  <c r="F44" i="5"/>
  <c r="N27" i="5" s="1"/>
  <c r="I43" i="5"/>
  <c r="H43" i="5"/>
  <c r="G43" i="5"/>
  <c r="F43" i="5"/>
  <c r="N26" i="5" s="1"/>
  <c r="I42" i="5"/>
  <c r="T25" i="5" s="1"/>
  <c r="H42" i="5"/>
  <c r="G42" i="5"/>
  <c r="F42" i="5"/>
  <c r="Q38" i="5"/>
  <c r="Q37" i="5"/>
  <c r="N37" i="5"/>
  <c r="E37" i="5"/>
  <c r="D37" i="5"/>
  <c r="C37" i="5"/>
  <c r="N36" i="5"/>
  <c r="I36" i="5"/>
  <c r="S37" i="5" s="1"/>
  <c r="H36" i="5"/>
  <c r="G36" i="5"/>
  <c r="P37" i="5" s="1"/>
  <c r="F36" i="5"/>
  <c r="M37" i="5" s="1"/>
  <c r="U35" i="5"/>
  <c r="T35" i="5"/>
  <c r="S35" i="5"/>
  <c r="O35" i="5"/>
  <c r="I35" i="5"/>
  <c r="S36" i="5" s="1"/>
  <c r="H35" i="5"/>
  <c r="G35" i="5"/>
  <c r="P36" i="5" s="1"/>
  <c r="F35" i="5"/>
  <c r="M36" i="5" s="1"/>
  <c r="U34" i="5"/>
  <c r="T34" i="5"/>
  <c r="S34" i="5"/>
  <c r="R34" i="5"/>
  <c r="Q34" i="5"/>
  <c r="P34" i="5"/>
  <c r="I34" i="5"/>
  <c r="H34" i="5"/>
  <c r="G34" i="5"/>
  <c r="P35" i="5" s="1"/>
  <c r="F34" i="5"/>
  <c r="M35" i="5" s="1"/>
  <c r="R33" i="5"/>
  <c r="Q33" i="5"/>
  <c r="O33" i="5"/>
  <c r="N33" i="5"/>
  <c r="M33" i="5"/>
  <c r="I33" i="5"/>
  <c r="H33" i="5"/>
  <c r="G33" i="5"/>
  <c r="F33" i="5"/>
  <c r="M34" i="5" s="1"/>
  <c r="T32" i="5"/>
  <c r="Q32" i="5"/>
  <c r="N32" i="5"/>
  <c r="I32" i="5"/>
  <c r="S33" i="5" s="1"/>
  <c r="H32" i="5"/>
  <c r="G32" i="5"/>
  <c r="P33" i="5" s="1"/>
  <c r="F32" i="5"/>
  <c r="R31" i="5"/>
  <c r="O31" i="5"/>
  <c r="I31" i="5"/>
  <c r="S32" i="5" s="1"/>
  <c r="H31" i="5"/>
  <c r="G31" i="5"/>
  <c r="P32" i="5" s="1"/>
  <c r="F31" i="5"/>
  <c r="M32" i="5" s="1"/>
  <c r="U30" i="5"/>
  <c r="T30" i="5"/>
  <c r="I30" i="5"/>
  <c r="S31" i="5" s="1"/>
  <c r="H30" i="5"/>
  <c r="G30" i="5"/>
  <c r="P31" i="5" s="1"/>
  <c r="F30" i="5"/>
  <c r="M31" i="5" s="1"/>
  <c r="U29" i="5"/>
  <c r="R29" i="5"/>
  <c r="Q29" i="5"/>
  <c r="N29" i="5"/>
  <c r="M29" i="5"/>
  <c r="I29" i="5"/>
  <c r="S30" i="5" s="1"/>
  <c r="H29" i="5"/>
  <c r="G29" i="5"/>
  <c r="P30" i="5" s="1"/>
  <c r="F29" i="5"/>
  <c r="M30" i="5" s="1"/>
  <c r="T28" i="5"/>
  <c r="S28" i="5"/>
  <c r="Q28" i="5"/>
  <c r="P28" i="5"/>
  <c r="N28" i="5"/>
  <c r="M28" i="5"/>
  <c r="I28" i="5"/>
  <c r="S29" i="5" s="1"/>
  <c r="H28" i="5"/>
  <c r="G28" i="5"/>
  <c r="P29" i="5" s="1"/>
  <c r="F28" i="5"/>
  <c r="S27" i="5"/>
  <c r="P27" i="5"/>
  <c r="M27" i="5"/>
  <c r="I27" i="5"/>
  <c r="H27" i="5"/>
  <c r="G27" i="5"/>
  <c r="F27" i="5"/>
  <c r="T26" i="5"/>
  <c r="S26" i="5"/>
  <c r="Q26" i="5"/>
  <c r="P26" i="5"/>
  <c r="I26" i="5"/>
  <c r="H26" i="5"/>
  <c r="G26" i="5"/>
  <c r="F26" i="5"/>
  <c r="S25" i="5"/>
  <c r="Q25" i="5"/>
  <c r="P25" i="5"/>
  <c r="N25" i="5"/>
  <c r="M25" i="5"/>
  <c r="I25" i="5"/>
  <c r="H25" i="5"/>
  <c r="G25" i="5"/>
  <c r="F25" i="5"/>
  <c r="M26" i="5" s="1"/>
  <c r="I24" i="5"/>
  <c r="H24" i="5"/>
  <c r="G24" i="5"/>
  <c r="F24" i="5"/>
  <c r="I23" i="5"/>
  <c r="S24" i="5" s="1"/>
  <c r="H23" i="5"/>
  <c r="G23" i="5"/>
  <c r="P24" i="5" s="1"/>
  <c r="F23" i="5"/>
  <c r="M24" i="5" s="1"/>
  <c r="Q19" i="5"/>
  <c r="P19" i="5"/>
  <c r="O19" i="5"/>
  <c r="K19" i="5"/>
  <c r="J19" i="5"/>
  <c r="I19" i="5"/>
  <c r="E19" i="5"/>
  <c r="D19" i="5"/>
  <c r="C19" i="5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O14" i="2"/>
  <c r="N14" i="2"/>
  <c r="M14" i="2"/>
  <c r="L14" i="2"/>
  <c r="K14" i="2"/>
  <c r="O13" i="2"/>
  <c r="N13" i="2"/>
  <c r="M13" i="2"/>
  <c r="L13" i="2"/>
  <c r="K13" i="2"/>
  <c r="J13" i="2"/>
  <c r="I13" i="2"/>
  <c r="H13" i="2"/>
  <c r="G13" i="2"/>
  <c r="O12" i="2"/>
  <c r="N12" i="2"/>
  <c r="M12" i="2"/>
  <c r="L12" i="2"/>
  <c r="K12" i="2"/>
  <c r="J12" i="2"/>
  <c r="I12" i="2"/>
  <c r="H12" i="2"/>
  <c r="G12" i="2"/>
  <c r="O11" i="2"/>
  <c r="N11" i="2"/>
  <c r="M11" i="2"/>
  <c r="L11" i="2"/>
  <c r="K11" i="2"/>
  <c r="J11" i="2"/>
  <c r="I11" i="2"/>
  <c r="H11" i="2"/>
  <c r="G11" i="2"/>
  <c r="O10" i="2"/>
  <c r="N10" i="2"/>
  <c r="M10" i="2"/>
  <c r="L10" i="2"/>
  <c r="K10" i="2"/>
  <c r="J10" i="2"/>
  <c r="I10" i="2"/>
  <c r="H10" i="2"/>
  <c r="G10" i="2"/>
  <c r="O9" i="2"/>
  <c r="N9" i="2"/>
  <c r="M9" i="2"/>
  <c r="L9" i="2"/>
  <c r="K9" i="2"/>
  <c r="J9" i="2"/>
  <c r="I9" i="2"/>
  <c r="H9" i="2"/>
  <c r="G9" i="2"/>
  <c r="O8" i="2"/>
  <c r="N8" i="2"/>
  <c r="M8" i="2"/>
  <c r="L8" i="2"/>
  <c r="K8" i="2"/>
  <c r="J8" i="2"/>
  <c r="I8" i="2"/>
  <c r="H8" i="2"/>
  <c r="G8" i="2"/>
  <c r="O7" i="2"/>
  <c r="N7" i="2"/>
  <c r="M7" i="2"/>
  <c r="L7" i="2"/>
  <c r="K7" i="2"/>
  <c r="J7" i="2"/>
  <c r="I7" i="2"/>
  <c r="H7" i="2"/>
  <c r="G7" i="2"/>
  <c r="O6" i="2"/>
  <c r="N6" i="2"/>
  <c r="M6" i="2"/>
  <c r="L6" i="2"/>
  <c r="K6" i="2"/>
  <c r="J6" i="2"/>
  <c r="I6" i="2"/>
  <c r="H6" i="2"/>
  <c r="G6" i="2"/>
  <c r="O5" i="2"/>
  <c r="N5" i="2"/>
  <c r="M5" i="2"/>
  <c r="L5" i="2"/>
  <c r="K5" i="2"/>
  <c r="J5" i="2"/>
  <c r="I5" i="2"/>
  <c r="H5" i="2"/>
  <c r="G5" i="2"/>
  <c r="O4" i="2"/>
  <c r="N4" i="2"/>
  <c r="M4" i="2"/>
  <c r="L4" i="2"/>
  <c r="K4" i="2"/>
  <c r="J4" i="2"/>
  <c r="I4" i="2"/>
  <c r="H4" i="2"/>
  <c r="G4" i="2"/>
  <c r="E13" i="1"/>
  <c r="I8" i="1" s="1"/>
  <c r="D13" i="1"/>
  <c r="H5" i="1" s="1"/>
  <c r="C13" i="1"/>
  <c r="G4" i="1" s="1"/>
  <c r="B13" i="1"/>
  <c r="F11" i="1" s="1"/>
  <c r="J12" i="1"/>
  <c r="I12" i="1"/>
  <c r="H12" i="1"/>
  <c r="G12" i="1"/>
  <c r="F12" i="1"/>
  <c r="J11" i="1"/>
  <c r="J10" i="1"/>
  <c r="J9" i="1"/>
  <c r="I9" i="1"/>
  <c r="H9" i="1"/>
  <c r="G9" i="1"/>
  <c r="F9" i="1"/>
  <c r="J8" i="1"/>
  <c r="J7" i="1"/>
  <c r="J6" i="1"/>
  <c r="I6" i="1"/>
  <c r="H6" i="1"/>
  <c r="G6" i="1"/>
  <c r="F6" i="1"/>
  <c r="J5" i="1"/>
  <c r="I5" i="1"/>
  <c r="L4" i="1"/>
  <c r="J4" i="1"/>
  <c r="L3" i="1"/>
  <c r="K3" i="1"/>
  <c r="J3" i="1"/>
  <c r="I3" i="1"/>
  <c r="H3" i="1"/>
  <c r="G3" i="1"/>
  <c r="F3" i="1"/>
  <c r="F5" i="17" l="1"/>
  <c r="F6" i="17" s="1"/>
  <c r="F7" i="17" s="1"/>
  <c r="F8" i="17" s="1"/>
  <c r="F9" i="17" s="1"/>
  <c r="F10" i="17" s="1"/>
  <c r="F10" i="1"/>
  <c r="F4" i="1"/>
  <c r="F13" i="1" s="1"/>
  <c r="F7" i="1"/>
  <c r="G7" i="1"/>
  <c r="H4" i="1"/>
  <c r="H13" i="1" s="1"/>
  <c r="I10" i="1"/>
  <c r="I4" i="1"/>
  <c r="I13" i="1" s="1"/>
  <c r="F8" i="1"/>
  <c r="G11" i="1"/>
  <c r="F5" i="1"/>
  <c r="G8" i="1"/>
  <c r="H11" i="1"/>
  <c r="I7" i="1"/>
  <c r="G5" i="1"/>
  <c r="G13" i="1" s="1"/>
  <c r="H8" i="1"/>
  <c r="I11" i="1"/>
  <c r="G10" i="1"/>
  <c r="H10" i="1"/>
  <c r="H7" i="1"/>
</calcChain>
</file>

<file path=xl/sharedStrings.xml><?xml version="1.0" encoding="utf-8"?>
<sst xmlns="http://schemas.openxmlformats.org/spreadsheetml/2006/main" count="1022" uniqueCount="246">
  <si>
    <t>Percentages</t>
  </si>
  <si>
    <t>Decile</t>
  </si>
  <si>
    <t># Customers</t>
  </si>
  <si>
    <t>Total Transactions</t>
  </si>
  <si>
    <t>Revenue</t>
  </si>
  <si>
    <t>Profit</t>
  </si>
  <si>
    <t>Average revenue per customer</t>
  </si>
  <si>
    <t>Average profit per customer</t>
  </si>
  <si>
    <t>AOF AVerage order frequency</t>
  </si>
  <si>
    <t>Order Value =Revenue/Transactions</t>
  </si>
  <si>
    <t>Average Margin =Profit/Revenue</t>
  </si>
  <si>
    <t>TOTAL</t>
  </si>
  <si>
    <t>% Customers</t>
  </si>
  <si>
    <t>% Transactions</t>
  </si>
  <si>
    <t>% Revenue</t>
  </si>
  <si>
    <t>% Profit</t>
  </si>
  <si>
    <t>Avg spend/cust</t>
  </si>
  <si>
    <t>Avg profit/cust</t>
  </si>
  <si>
    <t>AOF</t>
  </si>
  <si>
    <t>AOV</t>
  </si>
  <si>
    <t>Avg margin</t>
  </si>
  <si>
    <t>Quarter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</si>
  <si>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</si>
  <si>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</si>
  <si>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</si>
  <si>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</si>
  <si>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</si>
  <si>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</si>
  <si>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</si>
  <si>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</si>
  <si>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</si>
  <si>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</si>
  <si>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</si>
  <si>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</si>
  <si>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</si>
  <si>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</si>
  <si>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</si>
  <si>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</si>
  <si>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% active</t>
  </si>
  <si>
    <t>Avg spend/active customer</t>
  </si>
  <si>
    <t>Q3 2021</t>
  </si>
  <si>
    <t>Q4 2021</t>
  </si>
  <si>
    <t>Q4 2022</t>
  </si>
  <si>
    <t>Table 3. Quarterly Summaries of the three cohorts</t>
  </si>
  <si>
    <t>Table 4 Yearly summaries for all cohorts of customers, including those acquired before 2021</t>
  </si>
  <si>
    <t>Avg Revenue per Customer</t>
  </si>
  <si>
    <t>Pre-2021</t>
  </si>
  <si>
    <t>Avg Profit per Customer</t>
  </si>
  <si>
    <t>ID</t>
  </si>
  <si>
    <t>Price</t>
  </si>
  <si>
    <t>COUNTA of Price</t>
  </si>
  <si>
    <t>001</t>
  </si>
  <si>
    <t>100 - 199</t>
  </si>
  <si>
    <t>002</t>
  </si>
  <si>
    <t>200 - 299</t>
  </si>
  <si>
    <t>003</t>
  </si>
  <si>
    <t>300 - 399</t>
  </si>
  <si>
    <t>004</t>
  </si>
  <si>
    <t>400 - 499</t>
  </si>
  <si>
    <t>005</t>
  </si>
  <si>
    <t>500 - 599</t>
  </si>
  <si>
    <t>006</t>
  </si>
  <si>
    <t>007</t>
  </si>
  <si>
    <t>Grand Total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</si>
  <si>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</si>
  <si>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</si>
  <si>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</si>
  <si>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</si>
  <si>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</si>
  <si>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</si>
  <si>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</si>
  <si>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</si>
  <si>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</si>
  <si>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</si>
  <si>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</si>
  <si>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</si>
  <si>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</si>
  <si>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</si>
  <si>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</si>
  <si>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</si>
  <si>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</si>
  <si>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</si>
  <si>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</si>
  <si>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</si>
  <si>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</si>
  <si>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</si>
  <si>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</si>
  <si>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</si>
  <si>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</si>
  <si>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</si>
  <si>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</si>
  <si>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</si>
  <si>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</si>
  <si>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</si>
  <si>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</si>
  <si>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</si>
  <si>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</si>
  <si>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</si>
  <si>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Unposted Final Score</t>
  </si>
  <si>
    <t>COUNTA of Unposted Final Score</t>
  </si>
  <si>
    <t>TABLE 2.4  waiting time in minutes</t>
  </si>
  <si>
    <t>COUNTA of TABLE 2.4  waiting time in minutes</t>
  </si>
  <si>
    <t>Use Table 2.11 to answer the following questions.</t>
  </si>
  <si>
    <t>MAX</t>
  </si>
  <si>
    <t>Question a: What is the range of house prices over this time period?</t>
  </si>
  <si>
    <t>MIN</t>
  </si>
  <si>
    <t>Answer: The lowest house price is 135 and the highest is 628. The range is 493 (representing $493,000).</t>
  </si>
  <si>
    <t>Question b: Which interval has the highest frequency?</t>
  </si>
  <si>
    <t>Answer: According to the pre-calculated histogram bins in the file, the 200 - 299 interval has the highest frequency (15 houses).</t>
  </si>
  <si>
    <t>Question c: How many houses sold for more than $600,000?</t>
  </si>
  <si>
    <t>Answer: Only 1 house sold for more than $600,000 (falling into the 600 - 700 interval).</t>
  </si>
  <si>
    <t>Miles per gallon</t>
  </si>
  <si>
    <t>COUNTA of Miles per gallon</t>
  </si>
  <si>
    <t>COUNT of TABLE 2.4  waiting time in minutes</t>
  </si>
  <si>
    <t>Cumulative frequency</t>
  </si>
  <si>
    <t>review Questions:</t>
  </si>
  <si>
    <t>a. how do you decide on  the range of waiting times in the observations? Set the range and Cumulative frequency chart</t>
  </si>
  <si>
    <t>What does a cumulative frequency distribution represent, and how is it useful in analyzing waiting times?</t>
  </si>
  <si>
    <t>Answer a : You find the absolute minimum and maximum values in the dataset.</t>
  </si>
  <si>
    <t xml:space="preserve"> Subtract the minimum from the maximum to find the range.</t>
  </si>
  <si>
    <t xml:space="preserve"> You then divide this range by your desired number of bins (intervals) to determine the bin width.</t>
  </si>
  <si>
    <t>Answer b : It represents a running total of frequencies, showing the number of observations that fall below the upper limit of each interval.</t>
  </si>
  <si>
    <t xml:space="preserve"> It is highly useful for answering percentile questions, such as "How many people waited under 20 minutes?"</t>
  </si>
  <si>
    <t xml:space="preserve"> or "What percentage of customers waited less than 30 minutes?".</t>
  </si>
  <si>
    <t>Question a: What is the range of waiting times in the observations?</t>
  </si>
  <si>
    <t>Answer: The minimum waiting time is 12 and the maximum is 33. The range is 21 minutes.</t>
  </si>
  <si>
    <t>Question b: Which time interval has the highest frequency of waiting times?</t>
  </si>
  <si>
    <t>Answer: Looking at the frequency distribution provided in the file, the 15.00 - 19.00 interval has the highest frequency (8 observations).</t>
  </si>
  <si>
    <t>Question c: How many customers waited for less than 24 minutes?</t>
  </si>
  <si>
    <t>Answer: Based on the cumulative frequency table, 17 customers waited for 24 minutes or less.</t>
  </si>
  <si>
    <t>Restaurant</t>
  </si>
  <si>
    <t>Quality Rating</t>
  </si>
  <si>
    <t>Meal Price (KZT)</t>
  </si>
  <si>
    <t>COUNTA of Quality Rating</t>
  </si>
  <si>
    <t>AVERAGE of Meal Price (KZT)</t>
  </si>
  <si>
    <t>Restaurant B</t>
  </si>
  <si>
    <t>neutral</t>
  </si>
  <si>
    <t>bad</t>
  </si>
  <si>
    <t>Restaurant C</t>
  </si>
  <si>
    <t>excellent</t>
  </si>
  <si>
    <t>Restaurant A</t>
  </si>
  <si>
    <t>good</t>
  </si>
  <si>
    <t>Restaurant E</t>
  </si>
  <si>
    <t>Restaurant D</t>
  </si>
  <si>
    <t>very bad</t>
  </si>
  <si>
    <t>Contingency Table Question:</t>
  </si>
  <si>
    <t>Understanding the Purpose:</t>
  </si>
  <si>
    <t>Task: Explain the purpose of a contingency table and how it can be used to summarize relationships between two categorical variables. Provide an example scenario (not related to restaurants) where a contingency table would be useful for analysis.</t>
  </si>
  <si>
    <t>Interpreting Relationships:</t>
  </si>
  <si>
    <t>Task: Describe how you would interpret relationships between categories in a contingency table. What patterns, trends, or associations might you look for, and why is this important in data analysis?</t>
  </si>
  <si>
    <t>Calculating Marginal and Conditional Frequencies:</t>
  </si>
  <si>
    <t>Task: Define marginal and conditional frequencies in the context of a contingency table. Explain how you would calculate these frequencies and provide a brief example illustrating their use.</t>
  </si>
  <si>
    <t>Evaluating Data Independence:</t>
  </si>
  <si>
    <t>Task: How can a contingency table be used to evaluate whether two categorical variables are independent? Describe the steps and the type of analysis you would perform to make this determination.</t>
  </si>
  <si>
    <t>Sqft</t>
  </si>
  <si>
    <t>Type</t>
  </si>
  <si>
    <t>Condo</t>
  </si>
  <si>
    <t>Single</t>
  </si>
  <si>
    <t>Price, SIngle</t>
  </si>
  <si>
    <t>Price, Condo</t>
  </si>
  <si>
    <t>Review Question:</t>
  </si>
  <si>
    <t>Using the following dataset for two categories, create a scatterplot with different colors representing each category:</t>
  </si>
  <si>
    <t>How does using different colors in a scatterplot help identify patterns or trends that might reveal Simpson's Paradox?</t>
  </si>
  <si>
    <t>What is Simpson's Paradox, and how can visualizations like scatterplots assist in understanding it?</t>
  </si>
  <si>
    <t>Answer: Coloring data points by category (in your file's case, identifying "Single" family homes vs. "Condos")</t>
  </si>
  <si>
    <t xml:space="preserve"> allows you to visually separate the subgroups. This makes it easy to see if a correlation exists within </t>
  </si>
  <si>
    <t>individual groups that might otherwise disappear or completely reverse when all the data is blended together.</t>
  </si>
  <si>
    <t xml:space="preserve">Answer: Simpson's Paradox is a phenomenon in statistics where a trend appears in several different </t>
  </si>
  <si>
    <t xml:space="preserve">groups of data but disappears or reverses when these groups are combined. Scatterplots assist by plotting </t>
  </si>
  <si>
    <t>the individual variables and letting you use categorical formatting (shapes/colors) to make the contrasting group-level and aggregate-level trends visually obvious.</t>
  </si>
  <si>
    <t>COUNT of Price</t>
  </si>
  <si>
    <t>Midpoint</t>
  </si>
  <si>
    <t>Frequency</t>
  </si>
  <si>
    <t>042</t>
  </si>
  <si>
    <t>043</t>
  </si>
  <si>
    <t>044</t>
  </si>
  <si>
    <t>045</t>
  </si>
  <si>
    <t>Upper limit</t>
  </si>
  <si>
    <t>AVERAGE of Frequency, Cumulative</t>
  </si>
  <si>
    <t xml:space="preserve">Grouped </t>
  </si>
  <si>
    <t xml:space="preserve">SUM of COUNT of </t>
  </si>
  <si>
    <t>600 - 699</t>
  </si>
  <si>
    <t xml:space="preserve">COUNT of </t>
  </si>
  <si>
    <t>Frequency, Cumulative</t>
  </si>
  <si>
    <t>6, 6, 7, 7, 8, 10, 10, 10, 11, 11, 11, 12, 12, 12, 13, 13, 13, 13, 15, 15, 15, 16, 16, 16, 17, 17, 17, 19, 19, 20</t>
  </si>
  <si>
    <t>the number of times individuals hit snooze button in the morning.</t>
  </si>
  <si>
    <t>For example:</t>
  </si>
  <si>
    <t>Some people hit snooze 6 times.</t>
  </si>
  <si>
    <t>Others might hit it 15 times.</t>
  </si>
  <si>
    <t>A few are more extreme, hitting snooze up to 20 times.</t>
  </si>
  <si>
    <t>Times Hit Snooze</t>
  </si>
  <si>
    <t>create a  leaf and stem</t>
  </si>
  <si>
    <t>Stem</t>
  </si>
  <si>
    <t>Hours Spent Procrastinating</t>
  </si>
  <si>
    <t>STEM-AND-LEAF PLOT</t>
  </si>
  <si>
    <t>Create stem and leaf table</t>
  </si>
  <si>
    <t>Data: Hours Spent Procrastinating</t>
  </si>
  <si>
    <t>STEM</t>
  </si>
  <si>
    <t>|</t>
  </si>
  <si>
    <t>LEAVES (ascending order)</t>
  </si>
  <si>
    <t>1  2  3  3  3  4  4  5  5  6  7  7  7  8  8  9  9  9</t>
  </si>
  <si>
    <t>0  0</t>
  </si>
  <si>
    <t>Key: Stem = tens, Leaf = ones  ▶  Example: 1 | 0 = 10 hours</t>
  </si>
  <si>
    <t>Leaves listed in ascending order within each stem row</t>
  </si>
  <si>
    <t>Summary Statistics</t>
  </si>
  <si>
    <t>n (count):</t>
  </si>
  <si>
    <t>Min:</t>
  </si>
  <si>
    <t>Max:</t>
  </si>
  <si>
    <t>Range:</t>
  </si>
  <si>
    <t>Median:</t>
  </si>
  <si>
    <t>Mean:</t>
  </si>
  <si>
    <t>&lt;0 or (blank)</t>
  </si>
  <si>
    <t>100-199</t>
  </si>
  <si>
    <t>200-299</t>
  </si>
  <si>
    <t>300-399</t>
  </si>
  <si>
    <t>400-499</t>
  </si>
  <si>
    <t>500-599</t>
  </si>
  <si>
    <t>600-700</t>
  </si>
  <si>
    <t>(Multiple Items)</t>
  </si>
  <si>
    <t>0-4999</t>
  </si>
  <si>
    <t>10000-14999</t>
  </si>
  <si>
    <t>15000-20000</t>
  </si>
  <si>
    <t>5000-9999</t>
  </si>
  <si>
    <t>10-14</t>
  </si>
  <si>
    <t>15-19</t>
  </si>
  <si>
    <t>20-24</t>
  </si>
  <si>
    <t>25-29</t>
  </si>
  <si>
    <t>30-35</t>
  </si>
  <si>
    <t>100-119</t>
  </si>
  <si>
    <t>120-139</t>
  </si>
  <si>
    <t>140-159</t>
  </si>
  <si>
    <t>60-79</t>
  </si>
  <si>
    <t>80-99</t>
  </si>
  <si>
    <t>&lt;5 or (blank)</t>
  </si>
  <si>
    <t>30-34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</si>
  <si>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</si>
  <si>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</si>
  <si>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</si>
  <si>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</si>
  <si>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</si>
  <si>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</si>
  <si>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</si>
  <si>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</si>
  <si>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90-100</t>
  </si>
  <si>
    <t/>
  </si>
  <si>
    <t>&lt;100 or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</si>
</sst>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00"/>
    <numFmt numFmtId="165" formatCode="0.0"/>
    <numFmt numFmtId="166" formatCode="[$$-409]#,##0"/>
    <numFmt numFmtId="167" formatCode="_(* #,##0_);_(* \(#,##0\);_(* &quot;-&quot;??_);_(@_)"/>
  </numFmts>
  <fonts count="2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1"/>
      <color rgb="FFC00000"/>
      <name val="Calibri"/>
    </font>
    <font>
      <b/>
      <sz val="10"/>
      <color theme="1"/>
      <name val="Calibri"/>
    </font>
    <font>
      <sz val="11"/>
      <color rgb="FFC00000"/>
      <name val="Calibri"/>
    </font>
    <font>
      <sz val="10"/>
      <color theme="1"/>
      <name val="Arial"/>
      <scheme val="minor"/>
    </font>
    <font>
      <sz val="9"/>
      <color rgb="FF242021"/>
      <name val="AvenirLTStd-Book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10"/>
      <color rgb="FFBEB0D0"/>
      <name val="Arial"/>
    </font>
    <font>
      <sz val="9"/>
      <color rgb="FF242021"/>
      <name val="Avenir"/>
    </font>
    <font>
      <b/>
      <sz val="10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b/>
      <sz val="13"/>
      <color rgb="FF1F4E79"/>
      <name val="Cambria"/>
    </font>
    <font>
      <i/>
      <sz val="11"/>
      <color theme="1"/>
      <name val="Cambria"/>
    </font>
    <font>
      <b/>
      <sz val="11"/>
      <color rgb="FFFFFFFF"/>
      <name val="Cambria"/>
    </font>
    <font>
      <i/>
      <sz val="11"/>
      <color rgb="FF595959"/>
      <name val="Cambria"/>
    </font>
    <font>
      <b/>
      <sz val="11"/>
      <color theme="1"/>
      <name val="Cambria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10" fontId="1" fillId="0" borderId="0" xfId="0" applyNumberFormat="1" applyFont="1"/>
    <xf numFmtId="164" fontId="1" fillId="0" borderId="0" xfId="0" applyNumberFormat="1" applyFont="1"/>
    <xf numFmtId="0" fontId="2" fillId="2" borderId="0" xfId="0" applyFont="1" applyFill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2" fillId="2" borderId="2" xfId="0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0" fontId="2" fillId="3" borderId="3" xfId="0" applyFont="1" applyFill="1" applyBorder="1"/>
    <xf numFmtId="3" fontId="2" fillId="3" borderId="3" xfId="0" applyNumberFormat="1" applyFont="1" applyFill="1" applyBorder="1" applyAlignment="1">
      <alignment horizontal="right"/>
    </xf>
    <xf numFmtId="4" fontId="1" fillId="0" borderId="0" xfId="0" applyNumberFormat="1" applyFont="1"/>
    <xf numFmtId="0" fontId="2" fillId="0" borderId="1" xfId="0" applyFont="1" applyBorder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9" fontId="2" fillId="0" borderId="5" xfId="0" applyNumberFormat="1" applyFont="1" applyBorder="1" applyAlignment="1">
      <alignment horizontal="right"/>
    </xf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2" borderId="3" xfId="0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right"/>
    </xf>
    <xf numFmtId="9" fontId="2" fillId="0" borderId="6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right" wrapText="1"/>
    </xf>
    <xf numFmtId="0" fontId="2" fillId="0" borderId="7" xfId="0" applyFont="1" applyBorder="1" applyAlignment="1">
      <alignment horizontal="right" wrapText="1"/>
    </xf>
    <xf numFmtId="1" fontId="2" fillId="0" borderId="5" xfId="0" applyNumberFormat="1" applyFont="1" applyBorder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7" fontId="2" fillId="0" borderId="5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9" fontId="2" fillId="0" borderId="8" xfId="0" applyNumberFormat="1" applyFont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167" fontId="2" fillId="0" borderId="8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4" fontId="2" fillId="2" borderId="1" xfId="0" applyNumberFormat="1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/>
    <xf numFmtId="4" fontId="2" fillId="2" borderId="3" xfId="0" applyNumberFormat="1" applyFont="1" applyFill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1" fillId="0" borderId="4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9" fontId="1" fillId="0" borderId="0" xfId="0" applyNumberFormat="1" applyFont="1"/>
    <xf numFmtId="10" fontId="2" fillId="0" borderId="1" xfId="0" applyNumberFormat="1" applyFont="1" applyBorder="1" applyAlignment="1">
      <alignment horizontal="right" wrapText="1"/>
    </xf>
    <xf numFmtId="10" fontId="2" fillId="0" borderId="0" xfId="0" applyNumberFormat="1" applyFont="1" applyAlignment="1">
      <alignment horizontal="right"/>
    </xf>
    <xf numFmtId="10" fontId="2" fillId="0" borderId="1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9" fontId="1" fillId="0" borderId="6" xfId="0" applyNumberFormat="1" applyFont="1" applyBorder="1"/>
    <xf numFmtId="0" fontId="2" fillId="0" borderId="3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1" fontId="1" fillId="0" borderId="0" xfId="0" applyNumberFormat="1" applyFont="1"/>
    <xf numFmtId="165" fontId="1" fillId="0" borderId="0" xfId="0" applyNumberFormat="1" applyFont="1"/>
    <xf numFmtId="10" fontId="2" fillId="0" borderId="3" xfId="0" applyNumberFormat="1" applyFont="1" applyBorder="1" applyAlignment="1">
      <alignment horizontal="right"/>
    </xf>
    <xf numFmtId="3" fontId="1" fillId="0" borderId="1" xfId="0" applyNumberFormat="1" applyFont="1" applyBorder="1"/>
    <xf numFmtId="0" fontId="4" fillId="0" borderId="0" xfId="0" applyFont="1"/>
    <xf numFmtId="3" fontId="1" fillId="0" borderId="0" xfId="0" applyNumberFormat="1" applyFont="1" applyAlignment="1">
      <alignment horizontal="right"/>
    </xf>
    <xf numFmtId="0" fontId="5" fillId="2" borderId="1" xfId="0" applyFont="1" applyFill="1" applyBorder="1"/>
    <xf numFmtId="0" fontId="2" fillId="2" borderId="9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4" fontId="11" fillId="0" borderId="0" xfId="0" applyNumberFormat="1" applyFont="1"/>
    <xf numFmtId="4" fontId="12" fillId="0" borderId="0" xfId="0" applyNumberFormat="1" applyFont="1" applyAlignment="1">
      <alignment horizontal="right"/>
    </xf>
    <xf numFmtId="0" fontId="13" fillId="4" borderId="0" xfId="0" applyFont="1" applyFill="1"/>
    <xf numFmtId="0" fontId="13" fillId="0" borderId="0" xfId="0" applyFont="1"/>
    <xf numFmtId="4" fontId="6" fillId="0" borderId="0" xfId="0" applyNumberFormat="1" applyFont="1"/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10" fillId="4" borderId="0" xfId="0" applyFont="1" applyFill="1"/>
    <xf numFmtId="0" fontId="14" fillId="0" borderId="0" xfId="0" applyFont="1" applyAlignment="1">
      <alignment wrapText="1"/>
    </xf>
    <xf numFmtId="3" fontId="1" fillId="0" borderId="0" xfId="0" applyNumberFormat="1" applyFont="1"/>
    <xf numFmtId="0" fontId="1" fillId="4" borderId="0" xfId="0" applyFont="1" applyFill="1"/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0" fontId="17" fillId="0" borderId="0" xfId="0" applyFont="1"/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9" fillId="0" borderId="0" xfId="0" applyFont="1"/>
    <xf numFmtId="0" fontId="20" fillId="0" borderId="0" xfId="0" applyFont="1"/>
    <xf numFmtId="0" fontId="0" fillId="0" borderId="10" xfId="0" pivotButton="1" applyBorder="1"/>
    <xf numFmtId="0" fontId="0" fillId="0" borderId="11" xfId="0" applyBorder="1"/>
    <xf numFmtId="0" fontId="0" fillId="0" borderId="10" xfId="0" applyBorder="1"/>
    <xf numFmtId="0" fontId="0" fillId="0" borderId="11" xfId="0" applyNumberFormat="1" applyBorder="1"/>
    <xf numFmtId="0" fontId="0" fillId="0" borderId="12" xfId="0" applyBorder="1"/>
    <xf numFmtId="0" fontId="0" fillId="0" borderId="13" xfId="0" applyNumberFormat="1" applyBorder="1"/>
    <xf numFmtId="0" fontId="0" fillId="0" borderId="14" xfId="0" applyBorder="1"/>
    <xf numFmtId="0" fontId="0" fillId="0" borderId="15" xfId="0" applyNumberFormat="1" applyBorder="1"/>
    <xf numFmtId="10" fontId="0" fillId="0" borderId="11" xfId="0" applyNumberFormat="1" applyBorder="1"/>
    <xf numFmtId="10" fontId="0" fillId="0" borderId="13" xfId="0" applyNumberFormat="1" applyBorder="1"/>
    <xf numFmtId="10" fontId="0" fillId="0" borderId="15" xfId="0" applyNumberFormat="1" applyBorder="1"/>
    <xf numFmtId="0" fontId="0" fillId="0" borderId="15" xfId="0" pivotButton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" fontId="0" fillId="0" borderId="10" xfId="0" applyNumberFormat="1" applyBorder="1"/>
    <xf numFmtId="4" fontId="0" fillId="0" borderId="18" xfId="0" applyNumberFormat="1" applyBorder="1"/>
    <xf numFmtId="4" fontId="0" fillId="0" borderId="11" xfId="0" applyNumberFormat="1" applyBorder="1"/>
    <xf numFmtId="0" fontId="0" fillId="0" borderId="10" xfId="0" applyNumberFormat="1" applyBorder="1"/>
    <xf numFmtId="0" fontId="0" fillId="0" borderId="18" xfId="0" applyNumberFormat="1" applyBorder="1"/>
    <xf numFmtId="0" fontId="0" fillId="0" borderId="12" xfId="0" applyNumberFormat="1" applyBorder="1"/>
    <xf numFmtId="0" fontId="0" fillId="0" borderId="1" xfId="0" applyNumberFormat="1" applyBorder="1"/>
    <xf numFmtId="0" fontId="0" fillId="0" borderId="14" xfId="0" applyNumberFormat="1" applyBorder="1"/>
    <xf numFmtId="0" fontId="0" fillId="0" borderId="19" xfId="0" applyNumberFormat="1" applyBorder="1"/>
    <xf numFmtId="4" fontId="0" fillId="0" borderId="12" xfId="0" applyNumberFormat="1" applyBorder="1"/>
    <xf numFmtId="4" fontId="0" fillId="0" borderId="14" xfId="0" applyNumberFormat="1" applyBorder="1"/>
    <xf numFmtId="0" fontId="0" fillId="0" borderId="20" xfId="0" applyBorder="1"/>
    <xf numFmtId="10" fontId="0" fillId="0" borderId="20" xfId="0" applyNumberFormat="1" applyBorder="1"/>
    <xf numFmtId="10" fontId="0" fillId="0" borderId="21" xfId="0" applyNumberFormat="1" applyBorder="1"/>
    <xf numFmtId="10" fontId="0" fillId="0" borderId="2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21" Type="http://schemas.openxmlformats.org/officeDocument/2006/relationships/pivotCacheDefinition" Target="pivotCache/pivotCacheDefinition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pivotCacheDefinition" Target="pivotCache/pivotCacheDefinition1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pivotCacheDefinition" Target="pivotCache/pivotCacheDefinition1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cohort!$F$3</c:f>
              <c:strCache>
                <c:ptCount val="1"/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cohort!$A$4:$A$19</c:f>
              <c:strCache>
                <c:ptCount val="16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</c:strCache>
            </c:strRef>
          </c:cat>
          <c:val>
            <c:numRef>
              <c:f>cohort!$F$4:$F$19</c:f>
              <c:numCache>
                <c:formatCode>0.00%</c:formatCode>
                <c:ptCount val="16"/>
                <c:pt idx="0">
                  <c:v>1</c:v>
                </c:pt>
                <c:pt idx="1">
                  <c:v>0.11756710839279647</c:v>
                </c:pt>
                <c:pt idx="2">
                  <c:v>0.10635406048250085</c:v>
                </c:pt>
                <c:pt idx="3">
                  <c:v>0.16479782534828408</c:v>
                </c:pt>
                <c:pt idx="4">
                  <c:v>0.10057764186204553</c:v>
                </c:pt>
                <c:pt idx="5">
                  <c:v>9.717974855589534E-2</c:v>
                </c:pt>
                <c:pt idx="6">
                  <c:v>8.3248386000679575E-2</c:v>
                </c:pt>
                <c:pt idx="7">
                  <c:v>0.14271151885830785</c:v>
                </c:pt>
                <c:pt idx="8">
                  <c:v>0.10601427115188583</c:v>
                </c:pt>
                <c:pt idx="9">
                  <c:v>9.5480801902820253E-2</c:v>
                </c:pt>
                <c:pt idx="10">
                  <c:v>7.4753652735304113E-2</c:v>
                </c:pt>
                <c:pt idx="11">
                  <c:v>0.1216445803601767</c:v>
                </c:pt>
                <c:pt idx="12">
                  <c:v>8.290859667006456E-2</c:v>
                </c:pt>
                <c:pt idx="13">
                  <c:v>8.0190282025144416E-2</c:v>
                </c:pt>
                <c:pt idx="14">
                  <c:v>6.8297655453618752E-2</c:v>
                </c:pt>
                <c:pt idx="15">
                  <c:v>0.1199456337071016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7-4A5B-8C95-DEEB7334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5896827"/>
        <c:axId val="276295341"/>
      </c:lineChart>
      <c:catAx>
        <c:axId val="1505896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6295341"/>
        <c:crosses val="autoZero"/>
        <c:auto val="1"/>
        <c:lblAlgn val="ctr"/>
        <c:lblOffset val="100"/>
        <c:noMultiLvlLbl val="1"/>
      </c:catAx>
      <c:valAx>
        <c:axId val="27629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58968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Price относительно параметра "Grouped Price"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histogram!$L$1</c:f>
              <c:strCache>
                <c:ptCount val="1"/>
                <c:pt idx="0">
                  <c:v>COUNTA of Price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histogram!$K$2:$K$7</c:f>
              <c:strCache>
                <c:ptCount val="6"/>
                <c:pt idx="0">
                  <c:v>&lt;100 or (blank)</c:v>
                </c:pt>
                <c:pt idx="1">
                  <c:v>100-199</c:v>
                </c:pt>
                <c:pt idx="2">
                  <c:v>200-299</c:v>
                </c:pt>
                <c:pt idx="3">
                  <c:v>300-399</c:v>
                </c:pt>
                <c:pt idx="4">
                  <c:v>400-499</c:v>
                </c:pt>
                <c:pt idx="5">
                  <c:v>500-599</c:v>
                </c:pt>
              </c:strCache>
            </c:strRef>
          </c:cat>
          <c:val>
            <c:numRef>
              <c:f>histogram!$L$2:$L$7</c:f>
              <c:numCache>
                <c:formatCode>General</c:formatCode>
                <c:ptCount val="6"/>
                <c:pt idx="1">
                  <c:v>8</c:v>
                </c:pt>
                <c:pt idx="2">
                  <c:v>15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6DD-488D-A74F-1024FB5A4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7919982"/>
        <c:axId val="1740010348"/>
      </c:barChart>
      <c:catAx>
        <c:axId val="1187919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0010348"/>
        <c:crosses val="autoZero"/>
        <c:auto val="1"/>
        <c:lblAlgn val="ctr"/>
        <c:lblOffset val="100"/>
        <c:noMultiLvlLbl val="1"/>
      </c:catAx>
      <c:valAx>
        <c:axId val="1740010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879199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Price и COUNTA of Price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histogram!$O$1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464-42FD-9C2B-95649EBDBEF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464-42FD-9C2B-95649EBDBEF4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464-42FD-9C2B-95649EBDBEF4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464-42FD-9C2B-95649EBDBEF4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464-42FD-9C2B-95649EBDBEF4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5464-42FD-9C2B-95649EBDBEF4}"/>
              </c:ext>
            </c:extLst>
          </c:dPt>
          <c:cat>
            <c:strRef>
              <c:f>histogram!$N$2:$N$7</c:f>
              <c:strCache>
                <c:ptCount val="6"/>
                <c:pt idx="0">
                  <c:v>Price</c:v>
                </c:pt>
                <c:pt idx="1">
                  <c:v>&lt;100 or (blank)</c:v>
                </c:pt>
                <c:pt idx="2">
                  <c:v>100-199</c:v>
                </c:pt>
                <c:pt idx="3">
                  <c:v>200-299</c:v>
                </c:pt>
                <c:pt idx="4">
                  <c:v>300-399</c:v>
                </c:pt>
                <c:pt idx="5">
                  <c:v>400-499</c:v>
                </c:pt>
              </c:strCache>
            </c:strRef>
          </c:cat>
          <c:val>
            <c:numRef>
              <c:f>histogram!$O$2:$O$7</c:f>
              <c:numCache>
                <c:formatCode>General</c:formatCode>
                <c:ptCount val="6"/>
                <c:pt idx="0">
                  <c:v>0</c:v>
                </c:pt>
                <c:pt idx="2">
                  <c:v>8</c:v>
                </c:pt>
                <c:pt idx="3">
                  <c:v>15</c:v>
                </c:pt>
                <c:pt idx="4">
                  <c:v>9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64-42FD-9C2B-95649EBD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Unposted Final Score и COUNTA of Unposted Final Score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Sheet6!$D$1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50C-47CB-8468-949DD7BC2E92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50C-47CB-8468-949DD7BC2E92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A50C-47CB-8468-949DD7BC2E92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A50C-47CB-8468-949DD7BC2E92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A50C-47CB-8468-949DD7BC2E92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A50C-47CB-8468-949DD7BC2E92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A50C-47CB-8468-949DD7BC2E92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A50C-47CB-8468-949DD7BC2E92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A50C-47CB-8468-949DD7BC2E92}"/>
              </c:ext>
            </c:extLst>
          </c:dPt>
          <c:cat>
            <c:strRef>
              <c:f>Sheet6!$C$2:$C$10</c:f>
              <c:strCache>
                <c:ptCount val="9"/>
                <c:pt idx="0">
                  <c:v>Unposted Final Score</c:v>
                </c:pt>
                <c:pt idx="1">
                  <c:v>&lt;0 or (blank)</c:v>
                </c:pt>
                <c:pt idx="2">
                  <c:v>0-10</c:v>
                </c:pt>
                <c:pt idx="3">
                  <c:v>10-20</c:v>
                </c:pt>
                <c:pt idx="4">
                  <c:v>20-30</c:v>
                </c:pt>
                <c:pt idx="5">
                  <c:v>30-40</c:v>
                </c:pt>
                <c:pt idx="6">
                  <c:v>40-50</c:v>
                </c:pt>
                <c:pt idx="7">
                  <c:v>50-60</c:v>
                </c:pt>
                <c:pt idx="8">
                  <c:v>60-70</c:v>
                </c:pt>
              </c:strCache>
            </c:strRef>
          </c:cat>
          <c:val>
            <c:numRef>
              <c:f>Sheet6!$D$2:$D$10</c:f>
              <c:numCache>
                <c:formatCode>General</c:formatCode>
                <c:ptCount val="9"/>
                <c:pt idx="0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13</c:v>
                </c:pt>
                <c:pt idx="6">
                  <c:v>13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50C-47CB-8468-949DD7BC2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Unposted Final Score относительно параметра "Grouped Unposted Final Score"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Sheet6!$H$2</c:f>
              <c:strCache>
                <c:ptCount val="1"/>
                <c:pt idx="0">
                  <c:v>COUNTA of Unposted Final Score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Sheet6!$G$3:$G$11</c:f>
              <c:strCache>
                <c:ptCount val="9"/>
                <c:pt idx="0">
                  <c:v>&lt;0 or (blank)</c:v>
                </c:pt>
                <c:pt idx="1">
                  <c:v>0-10</c:v>
                </c:pt>
                <c:pt idx="2">
                  <c:v>10-20</c:v>
                </c:pt>
                <c:pt idx="3">
                  <c:v>20-30</c:v>
                </c:pt>
                <c:pt idx="4">
                  <c:v>30-40</c:v>
                </c:pt>
                <c:pt idx="5">
                  <c:v>40-50</c:v>
                </c:pt>
                <c:pt idx="6">
                  <c:v>50-60</c:v>
                </c:pt>
                <c:pt idx="7">
                  <c:v>60-70</c:v>
                </c:pt>
                <c:pt idx="8">
                  <c:v>70-80</c:v>
                </c:pt>
              </c:strCache>
            </c:strRef>
          </c:cat>
          <c:val>
            <c:numRef>
              <c:f>Sheet6!$H$3:$H$11</c:f>
              <c:numCache>
                <c:formatCode>General</c:formatCode>
                <c:ptCount val="9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13</c:v>
                </c:pt>
                <c:pt idx="5">
                  <c:v>13</c:v>
                </c:pt>
                <c:pt idx="6">
                  <c:v>8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29-4E5A-A0B7-3208671B8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27224"/>
        <c:axId val="571811287"/>
      </c:barChart>
      <c:catAx>
        <c:axId val="2025227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Unposted Final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1811287"/>
        <c:crosses val="autoZero"/>
        <c:auto val="1"/>
        <c:lblAlgn val="ctr"/>
        <c:lblOffset val="100"/>
        <c:noMultiLvlLbl val="1"/>
      </c:catAx>
      <c:valAx>
        <c:axId val="571811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Unposted Final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52272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TABLE 2.4  waiting time in minutes относительно параметра "Grouped TABLE 2.4  waiting time in minutes"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'2. Bins'!$F$1</c:f>
              <c:strCache>
                <c:ptCount val="1"/>
                <c:pt idx="0">
                  <c:v>COUNTA of TABLE 2.4  waiting time in minutes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'2. Bins'!$E$2:$E$6</c:f>
              <c:strCache>
                <c:ptCount val="5"/>
                <c:pt idx="0">
                  <c:v>&lt;5 or (blank)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</c:strCache>
            </c:strRef>
          </c:cat>
          <c:val>
            <c:numRef>
              <c:f>'2. Bins'!$F$2:$F$6</c:f>
              <c:numCache>
                <c:formatCode>General</c:formatCode>
                <c:ptCount val="5"/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97-434A-ADCA-08966378C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740063"/>
        <c:axId val="1135939254"/>
      </c:barChart>
      <c:catAx>
        <c:axId val="19074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TABLE 2.4  waiting time in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5939254"/>
        <c:crosses val="autoZero"/>
        <c:auto val="1"/>
        <c:lblAlgn val="ctr"/>
        <c:lblOffset val="100"/>
        <c:noMultiLvlLbl val="1"/>
      </c:catAx>
      <c:valAx>
        <c:axId val="1135939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TABLE 2.4  waiting time in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7400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Miles per gallon относительно параметра "Grouped Miles per gallon"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Bins'!$E$2</c:f>
              <c:strCache>
                <c:ptCount val="1"/>
                <c:pt idx="0">
                  <c:v>COUNTA of Miles per gallon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'4. Bins'!$D$3:$D$7</c:f>
              <c:strCache>
                <c:ptCount val="5"/>
                <c:pt idx="0">
                  <c:v>100-119</c:v>
                </c:pt>
                <c:pt idx="1">
                  <c:v>120-139</c:v>
                </c:pt>
                <c:pt idx="2">
                  <c:v>140-159</c:v>
                </c:pt>
                <c:pt idx="3">
                  <c:v>60-79</c:v>
                </c:pt>
                <c:pt idx="4">
                  <c:v>80-99</c:v>
                </c:pt>
              </c:strCache>
            </c:strRef>
          </c:cat>
          <c:val>
            <c:numRef>
              <c:f>'4. Bins'!$E$3:$E$7</c:f>
              <c:numCache>
                <c:formatCode>General</c:formatCode>
                <c:ptCount val="5"/>
                <c:pt idx="0">
                  <c:v>11</c:v>
                </c:pt>
                <c:pt idx="1">
                  <c:v>6</c:v>
                </c:pt>
                <c:pt idx="2">
                  <c:v>1</c:v>
                </c:pt>
                <c:pt idx="3">
                  <c:v>6</c:v>
                </c:pt>
                <c:pt idx="4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1C-4CBF-ADDA-7B52F7474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074781"/>
        <c:axId val="1531983606"/>
      </c:barChart>
      <c:catAx>
        <c:axId val="641074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Miles per gallon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1983606"/>
        <c:crosses val="autoZero"/>
        <c:auto val="1"/>
        <c:lblAlgn val="ctr"/>
        <c:lblOffset val="100"/>
        <c:noMultiLvlLbl val="1"/>
      </c:catAx>
      <c:valAx>
        <c:axId val="1531983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Miles per gallon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10747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TABLE 2.4  waiting time in minutes и Cumulative frequency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questions!$G$1</c:f>
              <c:strCache>
                <c:ptCount val="1"/>
                <c:pt idx="0">
                  <c:v>COUNT of TABLE 2.4  waiting time in minutes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questions!$F$2:$F$6</c:f>
              <c:strCache>
                <c:ptCount val="5"/>
                <c:pt idx="0">
                  <c:v>10-14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30-35</c:v>
                </c:pt>
              </c:strCache>
            </c:strRef>
          </c:cat>
          <c:val>
            <c:numRef>
              <c:f>questions!$G$2:$G$6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72-4ABE-B5B7-921CDB534FC0}"/>
            </c:ext>
          </c:extLst>
        </c:ser>
        <c:ser>
          <c:idx val="1"/>
          <c:order val="1"/>
          <c:tx>
            <c:strRef>
              <c:f>questions!$H$1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questions!$F$2:$F$6</c:f>
              <c:strCache>
                <c:ptCount val="5"/>
                <c:pt idx="0">
                  <c:v>10-14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30-35</c:v>
                </c:pt>
              </c:strCache>
            </c:strRef>
          </c:cat>
          <c:val>
            <c:numRef>
              <c:f>questions!$H$2:$H$6</c:f>
              <c:numCache>
                <c:formatCode>General</c:formatCode>
                <c:ptCount val="5"/>
                <c:pt idx="0">
                  <c:v>4</c:v>
                </c:pt>
                <c:pt idx="1">
                  <c:v>12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72-4ABE-B5B7-921CDB534FC0}"/>
            </c:ext>
          </c:extLst>
        </c:ser>
        <c:ser>
          <c:idx val="2"/>
          <c:order val="2"/>
          <c:tx>
            <c:strRef>
              <c:f>questions!$I$1</c:f>
              <c:strCache>
                <c:ptCount val="1"/>
              </c:strCache>
            </c:strRef>
          </c:tx>
          <c:invertIfNegative val="1"/>
          <c:cat>
            <c:strRef>
              <c:f>questions!$F$2:$F$6</c:f>
              <c:strCache>
                <c:ptCount val="5"/>
                <c:pt idx="0">
                  <c:v>10-14</c:v>
                </c:pt>
                <c:pt idx="1">
                  <c:v>15-19</c:v>
                </c:pt>
                <c:pt idx="2">
                  <c:v>20-24</c:v>
                </c:pt>
                <c:pt idx="3">
                  <c:v>25-29</c:v>
                </c:pt>
                <c:pt idx="4">
                  <c:v>30-35</c:v>
                </c:pt>
              </c:strCache>
            </c:strRef>
          </c:cat>
          <c:val>
            <c:numRef>
              <c:f>questions!$I$2:$I$6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1372-4ABE-B5B7-921CDB534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9677706"/>
        <c:axId val="1757851745"/>
      </c:barChart>
      <c:catAx>
        <c:axId val="849677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Grouped TABLE 2.4  waiting time in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7851745"/>
        <c:crosses val="autoZero"/>
        <c:auto val="1"/>
        <c:lblAlgn val="ctr"/>
        <c:lblOffset val="100"/>
        <c:noMultiLvlLbl val="1"/>
      </c:catAx>
      <c:valAx>
        <c:axId val="1757851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96777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Quality Rating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'5. contingency'!$S$1</c:f>
              <c:strCache>
                <c:ptCount val="1"/>
                <c:pt idx="0">
                  <c:v>COUNTA of Quality Rating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F88C-4D39-A9CB-73791243A35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88C-4D39-A9CB-73791243A35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88C-4D39-A9CB-73791243A35A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88C-4D39-A9CB-73791243A35A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88C-4D39-A9CB-73791243A35A}"/>
              </c:ext>
            </c:extLst>
          </c:dPt>
          <c:cat>
            <c:strRef>
              <c:f>'5. contingency'!$R$2:$R$6</c:f>
              <c:strCache>
                <c:ptCount val="5"/>
                <c:pt idx="0">
                  <c:v>bad</c:v>
                </c:pt>
                <c:pt idx="1">
                  <c:v>excellent</c:v>
                </c:pt>
                <c:pt idx="2">
                  <c:v>good</c:v>
                </c:pt>
                <c:pt idx="3">
                  <c:v>neutral</c:v>
                </c:pt>
                <c:pt idx="4">
                  <c:v>very bad</c:v>
                </c:pt>
              </c:strCache>
            </c:strRef>
          </c:cat>
          <c:val>
            <c:numRef>
              <c:f>'5. contingency'!$S$2:$S$6</c:f>
              <c:numCache>
                <c:formatCode>General</c:formatCode>
                <c:ptCount val="5"/>
                <c:pt idx="0">
                  <c:v>18</c:v>
                </c:pt>
                <c:pt idx="1">
                  <c:v>24</c:v>
                </c:pt>
                <c:pt idx="2">
                  <c:v>20</c:v>
                </c:pt>
                <c:pt idx="3">
                  <c:v>21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8C-4D39-A9CB-73791243A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0.00 - 4,999.00, 5,000.00 - 9,999.00, 10,000.00 - 14,999.00 и 15,000.00 - 19,999.00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'5. contingency'!$F$1:$F$2</c:f>
              <c:strCache>
                <c:ptCount val="2"/>
                <c:pt idx="0">
                  <c:v>Meal Price (KZT)</c:v>
                </c:pt>
                <c:pt idx="1">
                  <c:v>0-4999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 contingency'!$E$3:$E$7</c:f>
              <c:strCache>
                <c:ptCount val="5"/>
                <c:pt idx="0">
                  <c:v>bad</c:v>
                </c:pt>
                <c:pt idx="1">
                  <c:v>excellent</c:v>
                </c:pt>
                <c:pt idx="2">
                  <c:v>good</c:v>
                </c:pt>
                <c:pt idx="3">
                  <c:v>neutral</c:v>
                </c:pt>
                <c:pt idx="4">
                  <c:v>very bad</c:v>
                </c:pt>
              </c:strCache>
            </c:strRef>
          </c:cat>
          <c:val>
            <c:numRef>
              <c:f>'5. contingency'!$F$3:$F$7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16-4785-A887-85EEE47DF8A3}"/>
            </c:ext>
          </c:extLst>
        </c:ser>
        <c:ser>
          <c:idx val="1"/>
          <c:order val="1"/>
          <c:tx>
            <c:strRef>
              <c:f>'5. contingency'!$G$1:$G$2</c:f>
              <c:strCache>
                <c:ptCount val="2"/>
                <c:pt idx="0">
                  <c:v>Meal Price (KZT)</c:v>
                </c:pt>
                <c:pt idx="1">
                  <c:v>10000-14999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 contingency'!$E$3:$E$7</c:f>
              <c:strCache>
                <c:ptCount val="5"/>
                <c:pt idx="0">
                  <c:v>bad</c:v>
                </c:pt>
                <c:pt idx="1">
                  <c:v>excellent</c:v>
                </c:pt>
                <c:pt idx="2">
                  <c:v>good</c:v>
                </c:pt>
                <c:pt idx="3">
                  <c:v>neutral</c:v>
                </c:pt>
                <c:pt idx="4">
                  <c:v>very bad</c:v>
                </c:pt>
              </c:strCache>
            </c:strRef>
          </c:cat>
          <c:val>
            <c:numRef>
              <c:f>'5. contingency'!$G$3:$G$7</c:f>
              <c:numCache>
                <c:formatCode>General</c:formatCode>
                <c:ptCount val="5"/>
                <c:pt idx="1">
                  <c:v>14</c:v>
                </c:pt>
                <c:pt idx="2">
                  <c:v>11</c:v>
                </c:pt>
                <c:pt idx="3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116-4785-A887-85EEE47DF8A3}"/>
            </c:ext>
          </c:extLst>
        </c:ser>
        <c:ser>
          <c:idx val="2"/>
          <c:order val="2"/>
          <c:tx>
            <c:strRef>
              <c:f>'5. contingency'!$H$1:$H$2</c:f>
              <c:strCache>
                <c:ptCount val="2"/>
                <c:pt idx="0">
                  <c:v>Meal Price (KZT)</c:v>
                </c:pt>
                <c:pt idx="1">
                  <c:v>15000-20000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 contingency'!$E$3:$E$7</c:f>
              <c:strCache>
                <c:ptCount val="5"/>
                <c:pt idx="0">
                  <c:v>bad</c:v>
                </c:pt>
                <c:pt idx="1">
                  <c:v>excellent</c:v>
                </c:pt>
                <c:pt idx="2">
                  <c:v>good</c:v>
                </c:pt>
                <c:pt idx="3">
                  <c:v>neutral</c:v>
                </c:pt>
                <c:pt idx="4">
                  <c:v>very bad</c:v>
                </c:pt>
              </c:strCache>
            </c:strRef>
          </c:cat>
          <c:val>
            <c:numRef>
              <c:f>'5. contingency'!$H$3:$H$7</c:f>
              <c:numCache>
                <c:formatCode>General</c:formatCode>
                <c:ptCount val="5"/>
                <c:pt idx="1">
                  <c:v>9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116-4785-A887-85EEE47DF8A3}"/>
            </c:ext>
          </c:extLst>
        </c:ser>
        <c:ser>
          <c:idx val="3"/>
          <c:order val="3"/>
          <c:tx>
            <c:strRef>
              <c:f>'5. contingency'!$I$1:$I$2</c:f>
              <c:strCache>
                <c:ptCount val="2"/>
                <c:pt idx="0">
                  <c:v>Meal Price (KZT)</c:v>
                </c:pt>
                <c:pt idx="1">
                  <c:v>5000-9999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 contingency'!$E$3:$E$7</c:f>
              <c:strCache>
                <c:ptCount val="5"/>
                <c:pt idx="0">
                  <c:v>bad</c:v>
                </c:pt>
                <c:pt idx="1">
                  <c:v>excellent</c:v>
                </c:pt>
                <c:pt idx="2">
                  <c:v>good</c:v>
                </c:pt>
                <c:pt idx="3">
                  <c:v>neutral</c:v>
                </c:pt>
                <c:pt idx="4">
                  <c:v>very bad</c:v>
                </c:pt>
              </c:strCache>
            </c:strRef>
          </c:cat>
          <c:val>
            <c:numRef>
              <c:f>'5. contingency'!$I$3:$I$7</c:f>
              <c:numCache>
                <c:formatCode>General</c:formatCode>
                <c:ptCount val="5"/>
                <c:pt idx="0">
                  <c:v>9</c:v>
                </c:pt>
                <c:pt idx="1">
                  <c:v>1</c:v>
                </c:pt>
                <c:pt idx="2">
                  <c:v>6</c:v>
                </c:pt>
                <c:pt idx="3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116-4785-A887-85EEE47DF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6095101"/>
        <c:axId val="1797135401"/>
      </c:barChart>
      <c:catAx>
        <c:axId val="1626095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Quality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7135401"/>
        <c:crosses val="autoZero"/>
        <c:auto val="1"/>
        <c:lblAlgn val="ctr"/>
        <c:lblOffset val="100"/>
        <c:noMultiLvlLbl val="1"/>
      </c:catAx>
      <c:valAx>
        <c:axId val="1797135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609510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Meal Price (KZT) относительно параметра "Quality Rating"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'5. contingency'!$M$1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 contingency'!$L$2:$L$6</c:f>
              <c:strCache>
                <c:ptCount val="5"/>
                <c:pt idx="1">
                  <c:v>Quality Rating</c:v>
                </c:pt>
                <c:pt idx="2">
                  <c:v>bad</c:v>
                </c:pt>
                <c:pt idx="3">
                  <c:v>excellent</c:v>
                </c:pt>
                <c:pt idx="4">
                  <c:v>good</c:v>
                </c:pt>
              </c:strCache>
            </c:strRef>
          </c:cat>
          <c:val>
            <c:numRef>
              <c:f>'5. contingency'!$M$2:$M$6</c:f>
              <c:numCache>
                <c:formatCode>General</c:formatCode>
                <c:ptCount val="5"/>
                <c:pt idx="1">
                  <c:v>0</c:v>
                </c:pt>
                <c:pt idx="2">
                  <c:v>5566.666666666667</c:v>
                </c:pt>
                <c:pt idx="3">
                  <c:v>14075</c:v>
                </c:pt>
                <c:pt idx="4">
                  <c:v>12010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76-4C90-8F1A-3D7946D5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6363226"/>
        <c:axId val="810342718"/>
      </c:barChart>
      <c:catAx>
        <c:axId val="1036363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Quality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0342718"/>
        <c:crosses val="autoZero"/>
        <c:auto val="1"/>
        <c:lblAlgn val="ctr"/>
        <c:lblOffset val="100"/>
        <c:noMultiLvlLbl val="1"/>
      </c:catAx>
      <c:valAx>
        <c:axId val="810342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Meal Price (KZT)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63632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Sqft относительно параметра "Price"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'scatterplot 1'!$C$1</c:f>
              <c:strCache>
                <c:ptCount val="1"/>
                <c:pt idx="0">
                  <c:v>Sqft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'scatterplot 1'!$B$2:$B$41</c:f>
              <c:numCache>
                <c:formatCode>General</c:formatCode>
                <c:ptCount val="40"/>
                <c:pt idx="0">
                  <c:v>106</c:v>
                </c:pt>
                <c:pt idx="1">
                  <c:v>125</c:v>
                </c:pt>
                <c:pt idx="2">
                  <c:v>127</c:v>
                </c:pt>
                <c:pt idx="3">
                  <c:v>130</c:v>
                </c:pt>
                <c:pt idx="4">
                  <c:v>132</c:v>
                </c:pt>
                <c:pt idx="5">
                  <c:v>144</c:v>
                </c:pt>
                <c:pt idx="6">
                  <c:v>189</c:v>
                </c:pt>
                <c:pt idx="7">
                  <c:v>194</c:v>
                </c:pt>
                <c:pt idx="8">
                  <c:v>195</c:v>
                </c:pt>
                <c:pt idx="9">
                  <c:v>199</c:v>
                </c:pt>
                <c:pt idx="10">
                  <c:v>204</c:v>
                </c:pt>
                <c:pt idx="11">
                  <c:v>204</c:v>
                </c:pt>
                <c:pt idx="12">
                  <c:v>214</c:v>
                </c:pt>
                <c:pt idx="13">
                  <c:v>242</c:v>
                </c:pt>
                <c:pt idx="14">
                  <c:v>259</c:v>
                </c:pt>
                <c:pt idx="15">
                  <c:v>263</c:v>
                </c:pt>
                <c:pt idx="16">
                  <c:v>303</c:v>
                </c:pt>
                <c:pt idx="17">
                  <c:v>320</c:v>
                </c:pt>
                <c:pt idx="18">
                  <c:v>323</c:v>
                </c:pt>
                <c:pt idx="19">
                  <c:v>325</c:v>
                </c:pt>
                <c:pt idx="20">
                  <c:v>328</c:v>
                </c:pt>
                <c:pt idx="21">
                  <c:v>338</c:v>
                </c:pt>
                <c:pt idx="22">
                  <c:v>350</c:v>
                </c:pt>
                <c:pt idx="23">
                  <c:v>370</c:v>
                </c:pt>
                <c:pt idx="24">
                  <c:v>381</c:v>
                </c:pt>
                <c:pt idx="25">
                  <c:v>384</c:v>
                </c:pt>
                <c:pt idx="26">
                  <c:v>384</c:v>
                </c:pt>
                <c:pt idx="27">
                  <c:v>444</c:v>
                </c:pt>
                <c:pt idx="28">
                  <c:v>448</c:v>
                </c:pt>
                <c:pt idx="29">
                  <c:v>452</c:v>
                </c:pt>
                <c:pt idx="30">
                  <c:v>467</c:v>
                </c:pt>
                <c:pt idx="31">
                  <c:v>489</c:v>
                </c:pt>
                <c:pt idx="32">
                  <c:v>529</c:v>
                </c:pt>
                <c:pt idx="33">
                  <c:v>532</c:v>
                </c:pt>
                <c:pt idx="34">
                  <c:v>532</c:v>
                </c:pt>
                <c:pt idx="35">
                  <c:v>559</c:v>
                </c:pt>
                <c:pt idx="36">
                  <c:v>617</c:v>
                </c:pt>
                <c:pt idx="37">
                  <c:v>658</c:v>
                </c:pt>
                <c:pt idx="38">
                  <c:v>658</c:v>
                </c:pt>
                <c:pt idx="39">
                  <c:v>674</c:v>
                </c:pt>
              </c:numCache>
            </c:numRef>
          </c:xVal>
          <c:yVal>
            <c:numRef>
              <c:f>'scatterplot 1'!$C$2:$C$41</c:f>
              <c:numCache>
                <c:formatCode>General</c:formatCode>
                <c:ptCount val="40"/>
                <c:pt idx="0">
                  <c:v>2357</c:v>
                </c:pt>
                <c:pt idx="1">
                  <c:v>2381</c:v>
                </c:pt>
                <c:pt idx="2">
                  <c:v>3208</c:v>
                </c:pt>
                <c:pt idx="3">
                  <c:v>2864</c:v>
                </c:pt>
                <c:pt idx="4">
                  <c:v>1981</c:v>
                </c:pt>
                <c:pt idx="5">
                  <c:v>1200</c:v>
                </c:pt>
                <c:pt idx="6">
                  <c:v>3074</c:v>
                </c:pt>
                <c:pt idx="7">
                  <c:v>3374</c:v>
                </c:pt>
                <c:pt idx="8">
                  <c:v>1287</c:v>
                </c:pt>
                <c:pt idx="9">
                  <c:v>3154</c:v>
                </c:pt>
                <c:pt idx="10">
                  <c:v>1593</c:v>
                </c:pt>
                <c:pt idx="11">
                  <c:v>2761</c:v>
                </c:pt>
                <c:pt idx="12">
                  <c:v>3488</c:v>
                </c:pt>
                <c:pt idx="13">
                  <c:v>822</c:v>
                </c:pt>
                <c:pt idx="14">
                  <c:v>1955</c:v>
                </c:pt>
                <c:pt idx="15">
                  <c:v>3103</c:v>
                </c:pt>
                <c:pt idx="16">
                  <c:v>1685</c:v>
                </c:pt>
                <c:pt idx="17">
                  <c:v>1358</c:v>
                </c:pt>
                <c:pt idx="18">
                  <c:v>3385</c:v>
                </c:pt>
                <c:pt idx="19">
                  <c:v>913</c:v>
                </c:pt>
                <c:pt idx="20">
                  <c:v>2050</c:v>
                </c:pt>
                <c:pt idx="21">
                  <c:v>784</c:v>
                </c:pt>
                <c:pt idx="22">
                  <c:v>1011</c:v>
                </c:pt>
                <c:pt idx="23">
                  <c:v>3100</c:v>
                </c:pt>
                <c:pt idx="24">
                  <c:v>2696</c:v>
                </c:pt>
                <c:pt idx="25">
                  <c:v>1638</c:v>
                </c:pt>
                <c:pt idx="26">
                  <c:v>2016</c:v>
                </c:pt>
                <c:pt idx="27">
                  <c:v>3245</c:v>
                </c:pt>
                <c:pt idx="28">
                  <c:v>1166</c:v>
                </c:pt>
                <c:pt idx="29">
                  <c:v>2995</c:v>
                </c:pt>
                <c:pt idx="30">
                  <c:v>792</c:v>
                </c:pt>
                <c:pt idx="31">
                  <c:v>3299</c:v>
                </c:pt>
                <c:pt idx="32">
                  <c:v>1453</c:v>
                </c:pt>
                <c:pt idx="33">
                  <c:v>3033</c:v>
                </c:pt>
                <c:pt idx="34">
                  <c:v>1994</c:v>
                </c:pt>
                <c:pt idx="35">
                  <c:v>2056</c:v>
                </c:pt>
                <c:pt idx="36">
                  <c:v>687</c:v>
                </c:pt>
                <c:pt idx="37">
                  <c:v>1700</c:v>
                </c:pt>
                <c:pt idx="38">
                  <c:v>826</c:v>
                </c:pt>
                <c:pt idx="39">
                  <c:v>1433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6C-4D2F-94AC-CAB7A9EA7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824659"/>
        <c:axId val="380260121"/>
      </c:scatterChart>
      <c:valAx>
        <c:axId val="14018246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0260121"/>
        <c:crosses val="autoZero"/>
        <c:crossBetween val="midCat"/>
      </c:valAx>
      <c:valAx>
        <c:axId val="380260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Sqft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182465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Sqft относительно параметра "Price"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'scp2'!$A$2:$A$41</c:f>
              <c:numCache>
                <c:formatCode>General</c:formatCode>
                <c:ptCount val="40"/>
                <c:pt idx="0">
                  <c:v>214</c:v>
                </c:pt>
                <c:pt idx="1">
                  <c:v>125</c:v>
                </c:pt>
                <c:pt idx="2">
                  <c:v>242</c:v>
                </c:pt>
                <c:pt idx="3">
                  <c:v>658</c:v>
                </c:pt>
                <c:pt idx="4">
                  <c:v>189</c:v>
                </c:pt>
                <c:pt idx="5">
                  <c:v>532</c:v>
                </c:pt>
                <c:pt idx="6">
                  <c:v>323</c:v>
                </c:pt>
                <c:pt idx="7">
                  <c:v>338</c:v>
                </c:pt>
                <c:pt idx="8">
                  <c:v>127</c:v>
                </c:pt>
                <c:pt idx="9">
                  <c:v>529</c:v>
                </c:pt>
                <c:pt idx="10">
                  <c:v>559</c:v>
                </c:pt>
                <c:pt idx="11">
                  <c:v>384</c:v>
                </c:pt>
                <c:pt idx="12">
                  <c:v>384</c:v>
                </c:pt>
                <c:pt idx="13">
                  <c:v>259</c:v>
                </c:pt>
                <c:pt idx="14">
                  <c:v>444</c:v>
                </c:pt>
                <c:pt idx="15">
                  <c:v>204</c:v>
                </c:pt>
                <c:pt idx="16">
                  <c:v>194</c:v>
                </c:pt>
                <c:pt idx="17">
                  <c:v>489</c:v>
                </c:pt>
                <c:pt idx="18">
                  <c:v>199</c:v>
                </c:pt>
                <c:pt idx="19">
                  <c:v>452</c:v>
                </c:pt>
                <c:pt idx="20">
                  <c:v>381</c:v>
                </c:pt>
                <c:pt idx="21">
                  <c:v>350</c:v>
                </c:pt>
                <c:pt idx="22">
                  <c:v>328</c:v>
                </c:pt>
                <c:pt idx="23">
                  <c:v>204</c:v>
                </c:pt>
                <c:pt idx="24">
                  <c:v>132</c:v>
                </c:pt>
                <c:pt idx="25">
                  <c:v>130</c:v>
                </c:pt>
                <c:pt idx="26">
                  <c:v>195</c:v>
                </c:pt>
                <c:pt idx="27">
                  <c:v>617</c:v>
                </c:pt>
                <c:pt idx="28">
                  <c:v>674</c:v>
                </c:pt>
                <c:pt idx="29">
                  <c:v>303</c:v>
                </c:pt>
                <c:pt idx="30">
                  <c:v>658</c:v>
                </c:pt>
                <c:pt idx="31">
                  <c:v>325</c:v>
                </c:pt>
                <c:pt idx="32">
                  <c:v>106</c:v>
                </c:pt>
                <c:pt idx="33">
                  <c:v>263</c:v>
                </c:pt>
                <c:pt idx="34">
                  <c:v>532</c:v>
                </c:pt>
                <c:pt idx="35">
                  <c:v>448</c:v>
                </c:pt>
                <c:pt idx="36">
                  <c:v>320</c:v>
                </c:pt>
                <c:pt idx="37">
                  <c:v>467</c:v>
                </c:pt>
                <c:pt idx="38">
                  <c:v>370</c:v>
                </c:pt>
                <c:pt idx="39">
                  <c:v>144</c:v>
                </c:pt>
              </c:numCache>
            </c:numRef>
          </c:xVal>
          <c:yVal>
            <c:numRef>
              <c:f>'scp2'!$B$2:$B$21</c:f>
              <c:numCache>
                <c:formatCode>General</c:formatCode>
                <c:ptCount val="20"/>
                <c:pt idx="0">
                  <c:v>3488</c:v>
                </c:pt>
                <c:pt idx="1">
                  <c:v>2381</c:v>
                </c:pt>
                <c:pt idx="2">
                  <c:v>822</c:v>
                </c:pt>
                <c:pt idx="3">
                  <c:v>1700</c:v>
                </c:pt>
                <c:pt idx="4">
                  <c:v>3074</c:v>
                </c:pt>
                <c:pt idx="5">
                  <c:v>3033</c:v>
                </c:pt>
                <c:pt idx="6">
                  <c:v>3385</c:v>
                </c:pt>
                <c:pt idx="7">
                  <c:v>784</c:v>
                </c:pt>
                <c:pt idx="8">
                  <c:v>3208</c:v>
                </c:pt>
                <c:pt idx="9">
                  <c:v>1453</c:v>
                </c:pt>
                <c:pt idx="10">
                  <c:v>2056</c:v>
                </c:pt>
                <c:pt idx="11">
                  <c:v>1638</c:v>
                </c:pt>
                <c:pt idx="12">
                  <c:v>2016</c:v>
                </c:pt>
                <c:pt idx="13">
                  <c:v>1955</c:v>
                </c:pt>
                <c:pt idx="14">
                  <c:v>3245</c:v>
                </c:pt>
                <c:pt idx="15">
                  <c:v>1593</c:v>
                </c:pt>
                <c:pt idx="16">
                  <c:v>3374</c:v>
                </c:pt>
                <c:pt idx="17">
                  <c:v>3299</c:v>
                </c:pt>
                <c:pt idx="18">
                  <c:v>3154</c:v>
                </c:pt>
                <c:pt idx="19">
                  <c:v>2995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69-4F6B-9D5D-1FA4334991F2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'scp2'!$A$2:$A$41</c:f>
              <c:numCache>
                <c:formatCode>General</c:formatCode>
                <c:ptCount val="40"/>
                <c:pt idx="0">
                  <c:v>214</c:v>
                </c:pt>
                <c:pt idx="1">
                  <c:v>125</c:v>
                </c:pt>
                <c:pt idx="2">
                  <c:v>242</c:v>
                </c:pt>
                <c:pt idx="3">
                  <c:v>658</c:v>
                </c:pt>
                <c:pt idx="4">
                  <c:v>189</c:v>
                </c:pt>
                <c:pt idx="5">
                  <c:v>532</c:v>
                </c:pt>
                <c:pt idx="6">
                  <c:v>323</c:v>
                </c:pt>
                <c:pt idx="7">
                  <c:v>338</c:v>
                </c:pt>
                <c:pt idx="8">
                  <c:v>127</c:v>
                </c:pt>
                <c:pt idx="9">
                  <c:v>529</c:v>
                </c:pt>
                <c:pt idx="10">
                  <c:v>559</c:v>
                </c:pt>
                <c:pt idx="11">
                  <c:v>384</c:v>
                </c:pt>
                <c:pt idx="12">
                  <c:v>384</c:v>
                </c:pt>
                <c:pt idx="13">
                  <c:v>259</c:v>
                </c:pt>
                <c:pt idx="14">
                  <c:v>444</c:v>
                </c:pt>
                <c:pt idx="15">
                  <c:v>204</c:v>
                </c:pt>
                <c:pt idx="16">
                  <c:v>194</c:v>
                </c:pt>
                <c:pt idx="17">
                  <c:v>489</c:v>
                </c:pt>
                <c:pt idx="18">
                  <c:v>199</c:v>
                </c:pt>
                <c:pt idx="19">
                  <c:v>452</c:v>
                </c:pt>
                <c:pt idx="20">
                  <c:v>381</c:v>
                </c:pt>
                <c:pt idx="21">
                  <c:v>350</c:v>
                </c:pt>
                <c:pt idx="22">
                  <c:v>328</c:v>
                </c:pt>
                <c:pt idx="23">
                  <c:v>204</c:v>
                </c:pt>
                <c:pt idx="24">
                  <c:v>132</c:v>
                </c:pt>
                <c:pt idx="25">
                  <c:v>130</c:v>
                </c:pt>
                <c:pt idx="26">
                  <c:v>195</c:v>
                </c:pt>
                <c:pt idx="27">
                  <c:v>617</c:v>
                </c:pt>
                <c:pt idx="28">
                  <c:v>674</c:v>
                </c:pt>
                <c:pt idx="29">
                  <c:v>303</c:v>
                </c:pt>
                <c:pt idx="30">
                  <c:v>658</c:v>
                </c:pt>
                <c:pt idx="31">
                  <c:v>325</c:v>
                </c:pt>
                <c:pt idx="32">
                  <c:v>106</c:v>
                </c:pt>
                <c:pt idx="33">
                  <c:v>263</c:v>
                </c:pt>
                <c:pt idx="34">
                  <c:v>532</c:v>
                </c:pt>
                <c:pt idx="35">
                  <c:v>448</c:v>
                </c:pt>
                <c:pt idx="36">
                  <c:v>320</c:v>
                </c:pt>
                <c:pt idx="37">
                  <c:v>467</c:v>
                </c:pt>
                <c:pt idx="38">
                  <c:v>370</c:v>
                </c:pt>
                <c:pt idx="39">
                  <c:v>144</c:v>
                </c:pt>
              </c:numCache>
            </c:numRef>
          </c:xVal>
          <c:yVal>
            <c:numRef>
              <c:f>'scp2'!$B$22:$B$41</c:f>
              <c:numCache>
                <c:formatCode>General</c:formatCode>
                <c:ptCount val="20"/>
                <c:pt idx="0">
                  <c:v>2696</c:v>
                </c:pt>
                <c:pt idx="1">
                  <c:v>1011</c:v>
                </c:pt>
                <c:pt idx="2">
                  <c:v>2050</c:v>
                </c:pt>
                <c:pt idx="3">
                  <c:v>2761</c:v>
                </c:pt>
                <c:pt idx="4">
                  <c:v>1981</c:v>
                </c:pt>
                <c:pt idx="5">
                  <c:v>2864</c:v>
                </c:pt>
                <c:pt idx="6">
                  <c:v>1287</c:v>
                </c:pt>
                <c:pt idx="7">
                  <c:v>687</c:v>
                </c:pt>
                <c:pt idx="8">
                  <c:v>1433</c:v>
                </c:pt>
                <c:pt idx="9">
                  <c:v>1685</c:v>
                </c:pt>
                <c:pt idx="10">
                  <c:v>826</c:v>
                </c:pt>
                <c:pt idx="11">
                  <c:v>913</c:v>
                </c:pt>
                <c:pt idx="12">
                  <c:v>2357</c:v>
                </c:pt>
                <c:pt idx="13">
                  <c:v>3103</c:v>
                </c:pt>
                <c:pt idx="14">
                  <c:v>1994</c:v>
                </c:pt>
                <c:pt idx="15">
                  <c:v>1166</c:v>
                </c:pt>
                <c:pt idx="16">
                  <c:v>1358</c:v>
                </c:pt>
                <c:pt idx="17">
                  <c:v>792</c:v>
                </c:pt>
                <c:pt idx="18">
                  <c:v>3100</c:v>
                </c:pt>
                <c:pt idx="19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69-4F6B-9D5D-1FA433499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280936"/>
        <c:axId val="423484850"/>
      </c:scatterChart>
      <c:valAx>
        <c:axId val="17072809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23484850"/>
        <c:crosses val="autoZero"/>
        <c:crossBetween val="midCat"/>
      </c:valAx>
      <c:valAx>
        <c:axId val="423484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Sqft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728093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'scp3'!$B$1</c:f>
              <c:strCache>
                <c:ptCount val="1"/>
                <c:pt idx="0">
                  <c:v>Price, SIngle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'scp3'!$A$2:$A$41</c:f>
              <c:numCache>
                <c:formatCode>#,##0</c:formatCode>
                <c:ptCount val="40"/>
                <c:pt idx="0">
                  <c:v>3267</c:v>
                </c:pt>
                <c:pt idx="1">
                  <c:v>1767</c:v>
                </c:pt>
                <c:pt idx="2">
                  <c:v>3173</c:v>
                </c:pt>
                <c:pt idx="3">
                  <c:v>1856</c:v>
                </c:pt>
                <c:pt idx="4">
                  <c:v>2238</c:v>
                </c:pt>
                <c:pt idx="5">
                  <c:v>2186</c:v>
                </c:pt>
                <c:pt idx="6">
                  <c:v>2759</c:v>
                </c:pt>
                <c:pt idx="7">
                  <c:v>3436</c:v>
                </c:pt>
                <c:pt idx="8">
                  <c:v>2368</c:v>
                </c:pt>
                <c:pt idx="9">
                  <c:v>1810</c:v>
                </c:pt>
                <c:pt idx="10">
                  <c:v>2188</c:v>
                </c:pt>
                <c:pt idx="11">
                  <c:v>3495</c:v>
                </c:pt>
                <c:pt idx="12">
                  <c:v>1520</c:v>
                </c:pt>
                <c:pt idx="13">
                  <c:v>1585</c:v>
                </c:pt>
                <c:pt idx="14">
                  <c:v>1925</c:v>
                </c:pt>
                <c:pt idx="15">
                  <c:v>3483</c:v>
                </c:pt>
                <c:pt idx="16">
                  <c:v>2860</c:v>
                </c:pt>
                <c:pt idx="17">
                  <c:v>1644</c:v>
                </c:pt>
                <c:pt idx="18">
                  <c:v>3373</c:v>
                </c:pt>
                <c:pt idx="19">
                  <c:v>1679</c:v>
                </c:pt>
                <c:pt idx="20">
                  <c:v>778</c:v>
                </c:pt>
                <c:pt idx="21">
                  <c:v>903</c:v>
                </c:pt>
                <c:pt idx="22">
                  <c:v>960</c:v>
                </c:pt>
                <c:pt idx="23">
                  <c:v>1352</c:v>
                </c:pt>
                <c:pt idx="24">
                  <c:v>925</c:v>
                </c:pt>
                <c:pt idx="25">
                  <c:v>775</c:v>
                </c:pt>
                <c:pt idx="26">
                  <c:v>1204</c:v>
                </c:pt>
                <c:pt idx="27">
                  <c:v>1013</c:v>
                </c:pt>
                <c:pt idx="28">
                  <c:v>1164</c:v>
                </c:pt>
                <c:pt idx="29">
                  <c:v>929</c:v>
                </c:pt>
                <c:pt idx="30">
                  <c:v>967</c:v>
                </c:pt>
                <c:pt idx="31">
                  <c:v>635</c:v>
                </c:pt>
                <c:pt idx="32">
                  <c:v>824</c:v>
                </c:pt>
                <c:pt idx="33">
                  <c:v>977</c:v>
                </c:pt>
                <c:pt idx="34">
                  <c:v>1112</c:v>
                </c:pt>
                <c:pt idx="35">
                  <c:v>1167</c:v>
                </c:pt>
                <c:pt idx="36">
                  <c:v>1365</c:v>
                </c:pt>
                <c:pt idx="37">
                  <c:v>1232</c:v>
                </c:pt>
                <c:pt idx="38">
                  <c:v>767</c:v>
                </c:pt>
                <c:pt idx="39">
                  <c:v>997</c:v>
                </c:pt>
              </c:numCache>
            </c:numRef>
          </c:xVal>
          <c:yVal>
            <c:numRef>
              <c:f>'scp3'!$B$2:$B$41</c:f>
              <c:numCache>
                <c:formatCode>#,##0</c:formatCode>
                <c:ptCount val="40"/>
                <c:pt idx="0">
                  <c:v>646.70717122876499</c:v>
                </c:pt>
                <c:pt idx="1">
                  <c:v>415.210760539494</c:v>
                </c:pt>
                <c:pt idx="2">
                  <c:v>603.68235162326505</c:v>
                </c:pt>
                <c:pt idx="3">
                  <c:v>290.71207422927301</c:v>
                </c:pt>
                <c:pt idx="4">
                  <c:v>459.42495849904202</c:v>
                </c:pt>
                <c:pt idx="5">
                  <c:v>451.913648157068</c:v>
                </c:pt>
                <c:pt idx="6">
                  <c:v>513.91971935631102</c:v>
                </c:pt>
                <c:pt idx="7">
                  <c:v>704.33633982626895</c:v>
                </c:pt>
                <c:pt idx="8">
                  <c:v>444.815311403517</c:v>
                </c:pt>
                <c:pt idx="9">
                  <c:v>347.58307688606999</c:v>
                </c:pt>
                <c:pt idx="10">
                  <c:v>428.60174612182902</c:v>
                </c:pt>
                <c:pt idx="11">
                  <c:v>626.24167615074202</c:v>
                </c:pt>
                <c:pt idx="12">
                  <c:v>348.614731008717</c:v>
                </c:pt>
                <c:pt idx="13">
                  <c:v>360.68102331637601</c:v>
                </c:pt>
                <c:pt idx="14">
                  <c:v>460.24625858626302</c:v>
                </c:pt>
                <c:pt idx="15">
                  <c:v>545.72580503344795</c:v>
                </c:pt>
                <c:pt idx="16">
                  <c:v>538.57066235531602</c:v>
                </c:pt>
                <c:pt idx="17">
                  <c:v>366.14906127811503</c:v>
                </c:pt>
                <c:pt idx="18">
                  <c:v>631.43704741220802</c:v>
                </c:pt>
                <c:pt idx="19">
                  <c:v>294.36393613336998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7E-4FED-A2F7-0CD33764CFCF}"/>
            </c:ext>
          </c:extLst>
        </c:ser>
        <c:ser>
          <c:idx val="1"/>
          <c:order val="1"/>
          <c:tx>
            <c:strRef>
              <c:f>'scp3'!$C$1</c:f>
              <c:strCache>
                <c:ptCount val="1"/>
                <c:pt idx="0">
                  <c:v>Price, Condo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'scp3'!$A$2:$A$41</c:f>
              <c:numCache>
                <c:formatCode>#,##0</c:formatCode>
                <c:ptCount val="40"/>
                <c:pt idx="0">
                  <c:v>3267</c:v>
                </c:pt>
                <c:pt idx="1">
                  <c:v>1767</c:v>
                </c:pt>
                <c:pt idx="2">
                  <c:v>3173</c:v>
                </c:pt>
                <c:pt idx="3">
                  <c:v>1856</c:v>
                </c:pt>
                <c:pt idx="4">
                  <c:v>2238</c:v>
                </c:pt>
                <c:pt idx="5">
                  <c:v>2186</c:v>
                </c:pt>
                <c:pt idx="6">
                  <c:v>2759</c:v>
                </c:pt>
                <c:pt idx="7">
                  <c:v>3436</c:v>
                </c:pt>
                <c:pt idx="8">
                  <c:v>2368</c:v>
                </c:pt>
                <c:pt idx="9">
                  <c:v>1810</c:v>
                </c:pt>
                <c:pt idx="10">
                  <c:v>2188</c:v>
                </c:pt>
                <c:pt idx="11">
                  <c:v>3495</c:v>
                </c:pt>
                <c:pt idx="12">
                  <c:v>1520</c:v>
                </c:pt>
                <c:pt idx="13">
                  <c:v>1585</c:v>
                </c:pt>
                <c:pt idx="14">
                  <c:v>1925</c:v>
                </c:pt>
                <c:pt idx="15">
                  <c:v>3483</c:v>
                </c:pt>
                <c:pt idx="16">
                  <c:v>2860</c:v>
                </c:pt>
                <c:pt idx="17">
                  <c:v>1644</c:v>
                </c:pt>
                <c:pt idx="18">
                  <c:v>3373</c:v>
                </c:pt>
                <c:pt idx="19">
                  <c:v>1679</c:v>
                </c:pt>
                <c:pt idx="20">
                  <c:v>778</c:v>
                </c:pt>
                <c:pt idx="21">
                  <c:v>903</c:v>
                </c:pt>
                <c:pt idx="22">
                  <c:v>960</c:v>
                </c:pt>
                <c:pt idx="23">
                  <c:v>1352</c:v>
                </c:pt>
                <c:pt idx="24">
                  <c:v>925</c:v>
                </c:pt>
                <c:pt idx="25">
                  <c:v>775</c:v>
                </c:pt>
                <c:pt idx="26">
                  <c:v>1204</c:v>
                </c:pt>
                <c:pt idx="27">
                  <c:v>1013</c:v>
                </c:pt>
                <c:pt idx="28">
                  <c:v>1164</c:v>
                </c:pt>
                <c:pt idx="29">
                  <c:v>929</c:v>
                </c:pt>
                <c:pt idx="30">
                  <c:v>967</c:v>
                </c:pt>
                <c:pt idx="31">
                  <c:v>635</c:v>
                </c:pt>
                <c:pt idx="32">
                  <c:v>824</c:v>
                </c:pt>
                <c:pt idx="33">
                  <c:v>977</c:v>
                </c:pt>
                <c:pt idx="34">
                  <c:v>1112</c:v>
                </c:pt>
                <c:pt idx="35">
                  <c:v>1167</c:v>
                </c:pt>
                <c:pt idx="36">
                  <c:v>1365</c:v>
                </c:pt>
                <c:pt idx="37">
                  <c:v>1232</c:v>
                </c:pt>
                <c:pt idx="38">
                  <c:v>767</c:v>
                </c:pt>
                <c:pt idx="39">
                  <c:v>997</c:v>
                </c:pt>
              </c:numCache>
            </c:numRef>
          </c:xVal>
          <c:yVal>
            <c:numRef>
              <c:f>'scp3'!$C$2:$C$41</c:f>
              <c:numCache>
                <c:formatCode>#,##0</c:formatCode>
                <c:ptCount val="40"/>
                <c:pt idx="20">
                  <c:v>116.673131288167</c:v>
                </c:pt>
                <c:pt idx="21">
                  <c:v>68.367653860571593</c:v>
                </c:pt>
                <c:pt idx="22">
                  <c:v>130.09614758322499</c:v>
                </c:pt>
                <c:pt idx="23">
                  <c:v>142.54842012044401</c:v>
                </c:pt>
                <c:pt idx="24">
                  <c:v>128.09147139677401</c:v>
                </c:pt>
                <c:pt idx="25">
                  <c:v>156.01415931364599</c:v>
                </c:pt>
                <c:pt idx="26">
                  <c:v>150.55140213203501</c:v>
                </c:pt>
                <c:pt idx="27">
                  <c:v>194.174616351976</c:v>
                </c:pt>
                <c:pt idx="28">
                  <c:v>138.99864290967901</c:v>
                </c:pt>
                <c:pt idx="29">
                  <c:v>160.67390581996801</c:v>
                </c:pt>
                <c:pt idx="30">
                  <c:v>46.406148905081103</c:v>
                </c:pt>
                <c:pt idx="31">
                  <c:v>148.37506769381099</c:v>
                </c:pt>
                <c:pt idx="32">
                  <c:v>173.64030721655399</c:v>
                </c:pt>
                <c:pt idx="33">
                  <c:v>168.551703035278</c:v>
                </c:pt>
                <c:pt idx="34">
                  <c:v>143.301783191038</c:v>
                </c:pt>
                <c:pt idx="35">
                  <c:v>146.49211243782099</c:v>
                </c:pt>
                <c:pt idx="36">
                  <c:v>188.870452225544</c:v>
                </c:pt>
                <c:pt idx="37">
                  <c:v>186.670874290531</c:v>
                </c:pt>
                <c:pt idx="38">
                  <c:v>88.4888094230257</c:v>
                </c:pt>
                <c:pt idx="39">
                  <c:v>221.49325859676901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7E-4FED-A2F7-0CD33764C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659727"/>
        <c:axId val="693008522"/>
      </c:scatterChart>
      <c:valAx>
        <c:axId val="5296597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3008522"/>
        <c:crosses val="autoZero"/>
        <c:crossBetween val="midCat"/>
      </c:valAx>
      <c:valAx>
        <c:axId val="69300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965972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0000FF"/>
                </a:solidFill>
                <a:latin typeface="+mn-lt"/>
              </a:defRPr>
            </a:pPr>
            <a:r>
              <a:rPr b="0" i="0">
                <a:solidFill>
                  <a:srgbClr val="0000FF"/>
                </a:solidFill>
                <a:latin typeface="+mn-lt"/>
              </a:rPr>
              <a:t>Price vs. Sqft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'make it in a different style'!$B$1</c:f>
              <c:strCache>
                <c:ptCount val="1"/>
                <c:pt idx="0">
                  <c:v>Price, SIngle</c:v>
                </c:pt>
              </c:strCache>
            </c:strRef>
          </c:tx>
          <c:spPr>
            <a:ln>
              <a:noFill/>
            </a:ln>
          </c:spPr>
          <c:marker>
            <c:symbol val="x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'make it in a different style'!$A$2:$A$41</c:f>
              <c:numCache>
                <c:formatCode>#,##0</c:formatCode>
                <c:ptCount val="40"/>
                <c:pt idx="0">
                  <c:v>3267</c:v>
                </c:pt>
                <c:pt idx="1">
                  <c:v>1767</c:v>
                </c:pt>
                <c:pt idx="2">
                  <c:v>3173</c:v>
                </c:pt>
                <c:pt idx="3">
                  <c:v>1856</c:v>
                </c:pt>
                <c:pt idx="4">
                  <c:v>2238</c:v>
                </c:pt>
                <c:pt idx="5">
                  <c:v>2186</c:v>
                </c:pt>
                <c:pt idx="6">
                  <c:v>2759</c:v>
                </c:pt>
                <c:pt idx="7">
                  <c:v>3436</c:v>
                </c:pt>
                <c:pt idx="8">
                  <c:v>2368</c:v>
                </c:pt>
                <c:pt idx="9">
                  <c:v>1810</c:v>
                </c:pt>
                <c:pt idx="10">
                  <c:v>2188</c:v>
                </c:pt>
                <c:pt idx="11">
                  <c:v>3495</c:v>
                </c:pt>
                <c:pt idx="12">
                  <c:v>1520</c:v>
                </c:pt>
                <c:pt idx="13">
                  <c:v>1585</c:v>
                </c:pt>
                <c:pt idx="14">
                  <c:v>1925</c:v>
                </c:pt>
                <c:pt idx="15">
                  <c:v>3483</c:v>
                </c:pt>
                <c:pt idx="16">
                  <c:v>2860</c:v>
                </c:pt>
                <c:pt idx="17">
                  <c:v>1644</c:v>
                </c:pt>
                <c:pt idx="18">
                  <c:v>3373</c:v>
                </c:pt>
                <c:pt idx="19">
                  <c:v>1679</c:v>
                </c:pt>
                <c:pt idx="20">
                  <c:v>778</c:v>
                </c:pt>
                <c:pt idx="21">
                  <c:v>903</c:v>
                </c:pt>
                <c:pt idx="22">
                  <c:v>960</c:v>
                </c:pt>
                <c:pt idx="23">
                  <c:v>1352</c:v>
                </c:pt>
                <c:pt idx="24">
                  <c:v>925</c:v>
                </c:pt>
                <c:pt idx="25">
                  <c:v>775</c:v>
                </c:pt>
                <c:pt idx="26">
                  <c:v>1204</c:v>
                </c:pt>
                <c:pt idx="27">
                  <c:v>1013</c:v>
                </c:pt>
                <c:pt idx="28">
                  <c:v>1164</c:v>
                </c:pt>
                <c:pt idx="29">
                  <c:v>929</c:v>
                </c:pt>
                <c:pt idx="30">
                  <c:v>967</c:v>
                </c:pt>
                <c:pt idx="31">
                  <c:v>635</c:v>
                </c:pt>
                <c:pt idx="32">
                  <c:v>824</c:v>
                </c:pt>
                <c:pt idx="33">
                  <c:v>977</c:v>
                </c:pt>
                <c:pt idx="34">
                  <c:v>1112</c:v>
                </c:pt>
                <c:pt idx="35">
                  <c:v>1167</c:v>
                </c:pt>
                <c:pt idx="36">
                  <c:v>1365</c:v>
                </c:pt>
                <c:pt idx="37">
                  <c:v>1232</c:v>
                </c:pt>
                <c:pt idx="38">
                  <c:v>767</c:v>
                </c:pt>
                <c:pt idx="39">
                  <c:v>997</c:v>
                </c:pt>
              </c:numCache>
            </c:numRef>
          </c:xVal>
          <c:yVal>
            <c:numRef>
              <c:f>'make it in a different style'!$B$2:$B$41</c:f>
              <c:numCache>
                <c:formatCode>#,##0</c:formatCode>
                <c:ptCount val="40"/>
                <c:pt idx="0">
                  <c:v>646.70717122876499</c:v>
                </c:pt>
                <c:pt idx="1">
                  <c:v>415.210760539494</c:v>
                </c:pt>
                <c:pt idx="2">
                  <c:v>603.68235162326505</c:v>
                </c:pt>
                <c:pt idx="3">
                  <c:v>290.71207422927301</c:v>
                </c:pt>
                <c:pt idx="4">
                  <c:v>459.42495849904202</c:v>
                </c:pt>
                <c:pt idx="5">
                  <c:v>451.913648157068</c:v>
                </c:pt>
                <c:pt idx="6">
                  <c:v>513.91971935631102</c:v>
                </c:pt>
                <c:pt idx="7">
                  <c:v>704.33633982626895</c:v>
                </c:pt>
                <c:pt idx="8">
                  <c:v>444.815311403517</c:v>
                </c:pt>
                <c:pt idx="9">
                  <c:v>347.58307688606999</c:v>
                </c:pt>
                <c:pt idx="10">
                  <c:v>428.60174612182902</c:v>
                </c:pt>
                <c:pt idx="11">
                  <c:v>626.24167615074202</c:v>
                </c:pt>
                <c:pt idx="12">
                  <c:v>348.614731008717</c:v>
                </c:pt>
                <c:pt idx="13">
                  <c:v>360.68102331637601</c:v>
                </c:pt>
                <c:pt idx="14">
                  <c:v>460.24625858626302</c:v>
                </c:pt>
                <c:pt idx="15">
                  <c:v>545.72580503344795</c:v>
                </c:pt>
                <c:pt idx="16">
                  <c:v>538.57066235531602</c:v>
                </c:pt>
                <c:pt idx="17">
                  <c:v>366.14906127811503</c:v>
                </c:pt>
                <c:pt idx="18">
                  <c:v>631.43704741220802</c:v>
                </c:pt>
                <c:pt idx="19">
                  <c:v>294.36393613336998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5-4486-A43B-6A961437B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024162"/>
        <c:axId val="1658742894"/>
      </c:scatterChart>
      <c:valAx>
        <c:axId val="15940241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8742894"/>
        <c:crosses val="autoZero"/>
        <c:crossBetween val="midCat"/>
      </c:valAx>
      <c:valAx>
        <c:axId val="1658742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402416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  <a:r>
              <a:rPr b="0" i="0">
                <a:solidFill>
                  <a:srgbClr val="FFFFFF"/>
                </a:solidFill>
                <a:latin typeface="+mn-lt"/>
              </a:rPr>
              <a:t>Price vs. Sqft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'make it in a different style'!$B$1</c:f>
              <c:strCache>
                <c:ptCount val="1"/>
                <c:pt idx="0">
                  <c:v>Price, SIngle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Price, SIngle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'make it in a different style'!$A$2:$A$41</c:f>
              <c:numCache>
                <c:formatCode>#,##0</c:formatCode>
                <c:ptCount val="40"/>
                <c:pt idx="0">
                  <c:v>3267</c:v>
                </c:pt>
                <c:pt idx="1">
                  <c:v>1767</c:v>
                </c:pt>
                <c:pt idx="2">
                  <c:v>3173</c:v>
                </c:pt>
                <c:pt idx="3">
                  <c:v>1856</c:v>
                </c:pt>
                <c:pt idx="4">
                  <c:v>2238</c:v>
                </c:pt>
                <c:pt idx="5">
                  <c:v>2186</c:v>
                </c:pt>
                <c:pt idx="6">
                  <c:v>2759</c:v>
                </c:pt>
                <c:pt idx="7">
                  <c:v>3436</c:v>
                </c:pt>
                <c:pt idx="8">
                  <c:v>2368</c:v>
                </c:pt>
                <c:pt idx="9">
                  <c:v>1810</c:v>
                </c:pt>
                <c:pt idx="10">
                  <c:v>2188</c:v>
                </c:pt>
                <c:pt idx="11">
                  <c:v>3495</c:v>
                </c:pt>
                <c:pt idx="12">
                  <c:v>1520</c:v>
                </c:pt>
                <c:pt idx="13">
                  <c:v>1585</c:v>
                </c:pt>
                <c:pt idx="14">
                  <c:v>1925</c:v>
                </c:pt>
                <c:pt idx="15">
                  <c:v>3483</c:v>
                </c:pt>
                <c:pt idx="16">
                  <c:v>2860</c:v>
                </c:pt>
                <c:pt idx="17">
                  <c:v>1644</c:v>
                </c:pt>
                <c:pt idx="18">
                  <c:v>3373</c:v>
                </c:pt>
                <c:pt idx="19">
                  <c:v>1679</c:v>
                </c:pt>
                <c:pt idx="20">
                  <c:v>778</c:v>
                </c:pt>
                <c:pt idx="21">
                  <c:v>903</c:v>
                </c:pt>
                <c:pt idx="22">
                  <c:v>960</c:v>
                </c:pt>
                <c:pt idx="23">
                  <c:v>1352</c:v>
                </c:pt>
                <c:pt idx="24">
                  <c:v>925</c:v>
                </c:pt>
                <c:pt idx="25">
                  <c:v>775</c:v>
                </c:pt>
                <c:pt idx="26">
                  <c:v>1204</c:v>
                </c:pt>
                <c:pt idx="27">
                  <c:v>1013</c:v>
                </c:pt>
                <c:pt idx="28">
                  <c:v>1164</c:v>
                </c:pt>
                <c:pt idx="29">
                  <c:v>929</c:v>
                </c:pt>
                <c:pt idx="30">
                  <c:v>967</c:v>
                </c:pt>
                <c:pt idx="31">
                  <c:v>635</c:v>
                </c:pt>
                <c:pt idx="32">
                  <c:v>824</c:v>
                </c:pt>
                <c:pt idx="33">
                  <c:v>977</c:v>
                </c:pt>
                <c:pt idx="34">
                  <c:v>1112</c:v>
                </c:pt>
                <c:pt idx="35">
                  <c:v>1167</c:v>
                </c:pt>
                <c:pt idx="36">
                  <c:v>1365</c:v>
                </c:pt>
                <c:pt idx="37">
                  <c:v>1232</c:v>
                </c:pt>
                <c:pt idx="38">
                  <c:v>767</c:v>
                </c:pt>
                <c:pt idx="39">
                  <c:v>997</c:v>
                </c:pt>
              </c:numCache>
            </c:numRef>
          </c:xVal>
          <c:yVal>
            <c:numRef>
              <c:f>'make it in a different style'!$B$2:$B$41</c:f>
              <c:numCache>
                <c:formatCode>#,##0</c:formatCode>
                <c:ptCount val="40"/>
                <c:pt idx="0">
                  <c:v>646.70717122876499</c:v>
                </c:pt>
                <c:pt idx="1">
                  <c:v>415.210760539494</c:v>
                </c:pt>
                <c:pt idx="2">
                  <c:v>603.68235162326505</c:v>
                </c:pt>
                <c:pt idx="3">
                  <c:v>290.71207422927301</c:v>
                </c:pt>
                <c:pt idx="4">
                  <c:v>459.42495849904202</c:v>
                </c:pt>
                <c:pt idx="5">
                  <c:v>451.913648157068</c:v>
                </c:pt>
                <c:pt idx="6">
                  <c:v>513.91971935631102</c:v>
                </c:pt>
                <c:pt idx="7">
                  <c:v>704.33633982626895</c:v>
                </c:pt>
                <c:pt idx="8">
                  <c:v>444.815311403517</c:v>
                </c:pt>
                <c:pt idx="9">
                  <c:v>347.58307688606999</c:v>
                </c:pt>
                <c:pt idx="10">
                  <c:v>428.60174612182902</c:v>
                </c:pt>
                <c:pt idx="11">
                  <c:v>626.24167615074202</c:v>
                </c:pt>
                <c:pt idx="12">
                  <c:v>348.614731008717</c:v>
                </c:pt>
                <c:pt idx="13">
                  <c:v>360.68102331637601</c:v>
                </c:pt>
                <c:pt idx="14">
                  <c:v>460.24625858626302</c:v>
                </c:pt>
                <c:pt idx="15">
                  <c:v>545.72580503344795</c:v>
                </c:pt>
                <c:pt idx="16">
                  <c:v>538.57066235531602</c:v>
                </c:pt>
                <c:pt idx="17">
                  <c:v>366.14906127811503</c:v>
                </c:pt>
                <c:pt idx="18">
                  <c:v>631.43704741220802</c:v>
                </c:pt>
                <c:pt idx="19">
                  <c:v>294.36393613336998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18-4DA9-A575-63AD665B5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34791"/>
        <c:axId val="1440928765"/>
      </c:scatterChart>
      <c:valAx>
        <c:axId val="972347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440928765"/>
        <c:crosses val="autoZero"/>
        <c:crossBetween val="midCat"/>
      </c:valAx>
      <c:valAx>
        <c:axId val="1440928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9723479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FFFFFF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073763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omic Sans MS"/>
              </a:defRPr>
            </a:pPr>
            <a:r>
              <a:rPr b="0" i="0">
                <a:solidFill>
                  <a:srgbClr val="757575"/>
                </a:solidFill>
                <a:latin typeface="Comic Sans MS"/>
              </a:rPr>
              <a:t>Price vs. Sqft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'make it in a different style'!$B$1</c:f>
              <c:strCache>
                <c:ptCount val="1"/>
                <c:pt idx="0">
                  <c:v>Price, SIngle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D966"/>
              </a:solidFill>
              <a:ln cmpd="sng">
                <a:solidFill>
                  <a:srgbClr val="FFD966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'make it in a different style'!$A$2:$A$41</c:f>
              <c:numCache>
                <c:formatCode>#,##0</c:formatCode>
                <c:ptCount val="40"/>
                <c:pt idx="0">
                  <c:v>3267</c:v>
                </c:pt>
                <c:pt idx="1">
                  <c:v>1767</c:v>
                </c:pt>
                <c:pt idx="2">
                  <c:v>3173</c:v>
                </c:pt>
                <c:pt idx="3">
                  <c:v>1856</c:v>
                </c:pt>
                <c:pt idx="4">
                  <c:v>2238</c:v>
                </c:pt>
                <c:pt idx="5">
                  <c:v>2186</c:v>
                </c:pt>
                <c:pt idx="6">
                  <c:v>2759</c:v>
                </c:pt>
                <c:pt idx="7">
                  <c:v>3436</c:v>
                </c:pt>
                <c:pt idx="8">
                  <c:v>2368</c:v>
                </c:pt>
                <c:pt idx="9">
                  <c:v>1810</c:v>
                </c:pt>
                <c:pt idx="10">
                  <c:v>2188</c:v>
                </c:pt>
                <c:pt idx="11">
                  <c:v>3495</c:v>
                </c:pt>
                <c:pt idx="12">
                  <c:v>1520</c:v>
                </c:pt>
                <c:pt idx="13">
                  <c:v>1585</c:v>
                </c:pt>
                <c:pt idx="14">
                  <c:v>1925</c:v>
                </c:pt>
                <c:pt idx="15">
                  <c:v>3483</c:v>
                </c:pt>
                <c:pt idx="16">
                  <c:v>2860</c:v>
                </c:pt>
                <c:pt idx="17">
                  <c:v>1644</c:v>
                </c:pt>
                <c:pt idx="18">
                  <c:v>3373</c:v>
                </c:pt>
                <c:pt idx="19">
                  <c:v>1679</c:v>
                </c:pt>
                <c:pt idx="20">
                  <c:v>778</c:v>
                </c:pt>
                <c:pt idx="21">
                  <c:v>903</c:v>
                </c:pt>
                <c:pt idx="22">
                  <c:v>960</c:v>
                </c:pt>
                <c:pt idx="23">
                  <c:v>1352</c:v>
                </c:pt>
                <c:pt idx="24">
                  <c:v>925</c:v>
                </c:pt>
                <c:pt idx="25">
                  <c:v>775</c:v>
                </c:pt>
                <c:pt idx="26">
                  <c:v>1204</c:v>
                </c:pt>
                <c:pt idx="27">
                  <c:v>1013</c:v>
                </c:pt>
                <c:pt idx="28">
                  <c:v>1164</c:v>
                </c:pt>
                <c:pt idx="29">
                  <c:v>929</c:v>
                </c:pt>
                <c:pt idx="30">
                  <c:v>967</c:v>
                </c:pt>
                <c:pt idx="31">
                  <c:v>635</c:v>
                </c:pt>
                <c:pt idx="32">
                  <c:v>824</c:v>
                </c:pt>
                <c:pt idx="33">
                  <c:v>977</c:v>
                </c:pt>
                <c:pt idx="34">
                  <c:v>1112</c:v>
                </c:pt>
                <c:pt idx="35">
                  <c:v>1167</c:v>
                </c:pt>
                <c:pt idx="36">
                  <c:v>1365</c:v>
                </c:pt>
                <c:pt idx="37">
                  <c:v>1232</c:v>
                </c:pt>
                <c:pt idx="38">
                  <c:v>767</c:v>
                </c:pt>
                <c:pt idx="39">
                  <c:v>997</c:v>
                </c:pt>
              </c:numCache>
            </c:numRef>
          </c:xVal>
          <c:yVal>
            <c:numRef>
              <c:f>'make it in a different style'!$B$2:$B$41</c:f>
              <c:numCache>
                <c:formatCode>#,##0</c:formatCode>
                <c:ptCount val="40"/>
                <c:pt idx="0">
                  <c:v>646.70717122876499</c:v>
                </c:pt>
                <c:pt idx="1">
                  <c:v>415.210760539494</c:v>
                </c:pt>
                <c:pt idx="2">
                  <c:v>603.68235162326505</c:v>
                </c:pt>
                <c:pt idx="3">
                  <c:v>290.71207422927301</c:v>
                </c:pt>
                <c:pt idx="4">
                  <c:v>459.42495849904202</c:v>
                </c:pt>
                <c:pt idx="5">
                  <c:v>451.913648157068</c:v>
                </c:pt>
                <c:pt idx="6">
                  <c:v>513.91971935631102</c:v>
                </c:pt>
                <c:pt idx="7">
                  <c:v>704.33633982626895</c:v>
                </c:pt>
                <c:pt idx="8">
                  <c:v>444.815311403517</c:v>
                </c:pt>
                <c:pt idx="9">
                  <c:v>347.58307688606999</c:v>
                </c:pt>
                <c:pt idx="10">
                  <c:v>428.60174612182902</c:v>
                </c:pt>
                <c:pt idx="11">
                  <c:v>626.24167615074202</c:v>
                </c:pt>
                <c:pt idx="12">
                  <c:v>348.614731008717</c:v>
                </c:pt>
                <c:pt idx="13">
                  <c:v>360.68102331637601</c:v>
                </c:pt>
                <c:pt idx="14">
                  <c:v>460.24625858626302</c:v>
                </c:pt>
                <c:pt idx="15">
                  <c:v>545.72580503344795</c:v>
                </c:pt>
                <c:pt idx="16">
                  <c:v>538.57066235531602</c:v>
                </c:pt>
                <c:pt idx="17">
                  <c:v>366.14906127811503</c:v>
                </c:pt>
                <c:pt idx="18">
                  <c:v>631.43704741220802</c:v>
                </c:pt>
                <c:pt idx="19">
                  <c:v>294.36393613336998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F5-445B-A3BC-6EFB68BD7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827901"/>
        <c:axId val="1334728343"/>
      </c:scatterChart>
      <c:valAx>
        <c:axId val="13368279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  <a:endParaRPr lang="en-US"/>
          </a:p>
        </c:txPr>
        <c:crossAx val="1334728343"/>
        <c:crosses val="autoZero"/>
        <c:crossBetween val="midCat"/>
      </c:valAx>
      <c:valAx>
        <c:axId val="1334728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i="0">
                    <a:solidFill>
                      <a:srgbClr val="000000"/>
                    </a:solidFill>
                    <a:latin typeface="Comic Sans MS"/>
                  </a:rPr>
                  <a:t>Price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  <a:endParaRPr lang="en-US"/>
          </a:p>
        </c:txPr>
        <c:crossAx val="133682790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9900FF"/>
              </a:solidFill>
              <a:latin typeface="Arial black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C27BA0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Price vs. Sqft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'make it in a different style'!$B$1</c:f>
              <c:strCache>
                <c:ptCount val="1"/>
                <c:pt idx="0">
                  <c:v>Price, SIngle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'make it in a different style'!$A$2:$A$41</c:f>
              <c:numCache>
                <c:formatCode>#,##0</c:formatCode>
                <c:ptCount val="40"/>
                <c:pt idx="0">
                  <c:v>3267</c:v>
                </c:pt>
                <c:pt idx="1">
                  <c:v>1767</c:v>
                </c:pt>
                <c:pt idx="2">
                  <c:v>3173</c:v>
                </c:pt>
                <c:pt idx="3">
                  <c:v>1856</c:v>
                </c:pt>
                <c:pt idx="4">
                  <c:v>2238</c:v>
                </c:pt>
                <c:pt idx="5">
                  <c:v>2186</c:v>
                </c:pt>
                <c:pt idx="6">
                  <c:v>2759</c:v>
                </c:pt>
                <c:pt idx="7">
                  <c:v>3436</c:v>
                </c:pt>
                <c:pt idx="8">
                  <c:v>2368</c:v>
                </c:pt>
                <c:pt idx="9">
                  <c:v>1810</c:v>
                </c:pt>
                <c:pt idx="10">
                  <c:v>2188</c:v>
                </c:pt>
                <c:pt idx="11">
                  <c:v>3495</c:v>
                </c:pt>
                <c:pt idx="12">
                  <c:v>1520</c:v>
                </c:pt>
                <c:pt idx="13">
                  <c:v>1585</c:v>
                </c:pt>
                <c:pt idx="14">
                  <c:v>1925</c:v>
                </c:pt>
                <c:pt idx="15">
                  <c:v>3483</c:v>
                </c:pt>
                <c:pt idx="16">
                  <c:v>2860</c:v>
                </c:pt>
                <c:pt idx="17">
                  <c:v>1644</c:v>
                </c:pt>
                <c:pt idx="18">
                  <c:v>3373</c:v>
                </c:pt>
                <c:pt idx="19">
                  <c:v>1679</c:v>
                </c:pt>
                <c:pt idx="20">
                  <c:v>778</c:v>
                </c:pt>
                <c:pt idx="21">
                  <c:v>903</c:v>
                </c:pt>
                <c:pt idx="22">
                  <c:v>960</c:v>
                </c:pt>
                <c:pt idx="23">
                  <c:v>1352</c:v>
                </c:pt>
                <c:pt idx="24">
                  <c:v>925</c:v>
                </c:pt>
                <c:pt idx="25">
                  <c:v>775</c:v>
                </c:pt>
                <c:pt idx="26">
                  <c:v>1204</c:v>
                </c:pt>
                <c:pt idx="27">
                  <c:v>1013</c:v>
                </c:pt>
                <c:pt idx="28">
                  <c:v>1164</c:v>
                </c:pt>
                <c:pt idx="29">
                  <c:v>929</c:v>
                </c:pt>
                <c:pt idx="30">
                  <c:v>967</c:v>
                </c:pt>
                <c:pt idx="31">
                  <c:v>635</c:v>
                </c:pt>
                <c:pt idx="32">
                  <c:v>824</c:v>
                </c:pt>
                <c:pt idx="33">
                  <c:v>977</c:v>
                </c:pt>
                <c:pt idx="34">
                  <c:v>1112</c:v>
                </c:pt>
                <c:pt idx="35">
                  <c:v>1167</c:v>
                </c:pt>
                <c:pt idx="36">
                  <c:v>1365</c:v>
                </c:pt>
                <c:pt idx="37">
                  <c:v>1232</c:v>
                </c:pt>
                <c:pt idx="38">
                  <c:v>767</c:v>
                </c:pt>
                <c:pt idx="39">
                  <c:v>997</c:v>
                </c:pt>
              </c:numCache>
            </c:numRef>
          </c:xVal>
          <c:yVal>
            <c:numRef>
              <c:f>'make it in a different style'!$B$2:$B$41</c:f>
              <c:numCache>
                <c:formatCode>#,##0</c:formatCode>
                <c:ptCount val="40"/>
                <c:pt idx="0">
                  <c:v>646.70717122876499</c:v>
                </c:pt>
                <c:pt idx="1">
                  <c:v>415.210760539494</c:v>
                </c:pt>
                <c:pt idx="2">
                  <c:v>603.68235162326505</c:v>
                </c:pt>
                <c:pt idx="3">
                  <c:v>290.71207422927301</c:v>
                </c:pt>
                <c:pt idx="4">
                  <c:v>459.42495849904202</c:v>
                </c:pt>
                <c:pt idx="5">
                  <c:v>451.913648157068</c:v>
                </c:pt>
                <c:pt idx="6">
                  <c:v>513.91971935631102</c:v>
                </c:pt>
                <c:pt idx="7">
                  <c:v>704.33633982626895</c:v>
                </c:pt>
                <c:pt idx="8">
                  <c:v>444.815311403517</c:v>
                </c:pt>
                <c:pt idx="9">
                  <c:v>347.58307688606999</c:v>
                </c:pt>
                <c:pt idx="10">
                  <c:v>428.60174612182902</c:v>
                </c:pt>
                <c:pt idx="11">
                  <c:v>626.24167615074202</c:v>
                </c:pt>
                <c:pt idx="12">
                  <c:v>348.614731008717</c:v>
                </c:pt>
                <c:pt idx="13">
                  <c:v>360.68102331637601</c:v>
                </c:pt>
                <c:pt idx="14">
                  <c:v>460.24625858626302</c:v>
                </c:pt>
                <c:pt idx="15">
                  <c:v>545.72580503344795</c:v>
                </c:pt>
                <c:pt idx="16">
                  <c:v>538.57066235531602</c:v>
                </c:pt>
                <c:pt idx="17">
                  <c:v>366.14906127811503</c:v>
                </c:pt>
                <c:pt idx="18">
                  <c:v>631.43704741220802</c:v>
                </c:pt>
                <c:pt idx="19">
                  <c:v>294.36393613336998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AF-4665-A702-194AB73A5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435591"/>
        <c:axId val="678183811"/>
      </c:scatterChart>
      <c:valAx>
        <c:axId val="13054355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8183811"/>
        <c:crosses val="autoZero"/>
        <c:crossBetween val="midCat"/>
      </c:valAx>
      <c:valAx>
        <c:axId val="678183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5435591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Polygon!$G$2</c:f>
              <c:strCache>
                <c:ptCount val="1"/>
                <c:pt idx="0">
                  <c:v>Frequency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Polygon!$F$3:$F$10</c:f>
              <c:numCache>
                <c:formatCode>General</c:formatCode>
                <c:ptCount val="8"/>
                <c:pt idx="0">
                  <c:v>99.5</c:v>
                </c:pt>
                <c:pt idx="1">
                  <c:v>149.5</c:v>
                </c:pt>
                <c:pt idx="2">
                  <c:v>249.5</c:v>
                </c:pt>
                <c:pt idx="3">
                  <c:v>349.5</c:v>
                </c:pt>
                <c:pt idx="4">
                  <c:v>449.5</c:v>
                </c:pt>
                <c:pt idx="5">
                  <c:v>549.5</c:v>
                </c:pt>
                <c:pt idx="6">
                  <c:v>649.5</c:v>
                </c:pt>
                <c:pt idx="7">
                  <c:v>749.5</c:v>
                </c:pt>
              </c:numCache>
            </c:numRef>
          </c:cat>
          <c:val>
            <c:numRef>
              <c:f>Polygon!$G$3:$G$10</c:f>
              <c:numCache>
                <c:formatCode>#,##0.00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0.1951219512195122</c:v>
                </c:pt>
                <c:pt idx="3">
                  <c:v>0.36585365853658536</c:v>
                </c:pt>
                <c:pt idx="4">
                  <c:v>0.21951219512195122</c:v>
                </c:pt>
                <c:pt idx="5">
                  <c:v>0.12195121951219512</c:v>
                </c:pt>
                <c:pt idx="6">
                  <c:v>7.3170731707317069E-2</c:v>
                </c:pt>
                <c:pt idx="7">
                  <c:v>2.4390243902439025E-2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7-42F7-948D-76DA1E64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178524"/>
        <c:axId val="164901347"/>
      </c:lineChart>
      <c:catAx>
        <c:axId val="1862178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901347"/>
        <c:crosses val="autoZero"/>
        <c:auto val="1"/>
        <c:lblAlgn val="ctr"/>
        <c:lblOffset val="100"/>
        <c:noMultiLvlLbl val="1"/>
      </c:catAx>
      <c:valAx>
        <c:axId val="164901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21785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Frequency, Cumulative относительно параметра "Upper limit"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Ogive!$D$3:$D$10</c:f>
              <c:numCache>
                <c:formatCode>General</c:formatCode>
                <c:ptCount val="8"/>
                <c:pt idx="0">
                  <c:v>0</c:v>
                </c:pt>
                <c:pt idx="1">
                  <c:v>99</c:v>
                </c:pt>
                <c:pt idx="2">
                  <c:v>199</c:v>
                </c:pt>
                <c:pt idx="3">
                  <c:v>299</c:v>
                </c:pt>
                <c:pt idx="4">
                  <c:v>399</c:v>
                </c:pt>
                <c:pt idx="5">
                  <c:v>499</c:v>
                </c:pt>
                <c:pt idx="6">
                  <c:v>599</c:v>
                </c:pt>
                <c:pt idx="7">
                  <c:v>699</c:v>
                </c:pt>
              </c:numCache>
            </c:numRef>
          </c:cat>
          <c:val>
            <c:numRef>
              <c:f>Ogive!$E$3:$E$10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0.1951219512195122</c:v>
                </c:pt>
                <c:pt idx="3">
                  <c:v>0.56097560975609762</c:v>
                </c:pt>
                <c:pt idx="4">
                  <c:v>0.78048780487804881</c:v>
                </c:pt>
                <c:pt idx="5">
                  <c:v>0.90243902439024393</c:v>
                </c:pt>
                <c:pt idx="6">
                  <c:v>0.97560975609756095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D-424B-8637-E79E9CD87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0653693"/>
        <c:axId val="1212952535"/>
      </c:lineChart>
      <c:catAx>
        <c:axId val="1320653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Upper limit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2952535"/>
        <c:crosses val="autoZero"/>
        <c:auto val="1"/>
        <c:lblAlgn val="ctr"/>
        <c:lblOffset val="100"/>
        <c:noMultiLvlLbl val="1"/>
      </c:catAx>
      <c:valAx>
        <c:axId val="1212952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Frequency, Cumulative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06536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638175</xdr:colOff>
      <xdr:row>2</xdr:row>
      <xdr:rowOff>276225</xdr:rowOff>
    </xdr:from>
    <xdr:ext cx="5715000" cy="3533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39</xdr:row>
      <xdr:rowOff>238125</xdr:rowOff>
    </xdr:from>
    <xdr:ext cx="5715000" cy="3533775"/>
    <xdr:pic>
      <xdr:nvPicPr>
        <xdr:cNvPr id="503070163" name="Chart2" title="Диаграмма">
          <a:extLst>
            <a:ext uri="{FF2B5EF4-FFF2-40B4-BE49-F238E27FC236}">
              <a16:creationId xmlns:a16="http://schemas.microsoft.com/office/drawing/2014/main" id="{00000000-0008-0000-0400-0000D33DFC1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57</xdr:row>
      <xdr:rowOff>123825</xdr:rowOff>
    </xdr:from>
    <xdr:ext cx="5715000" cy="3533775"/>
    <xdr:pic>
      <xdr:nvPicPr>
        <xdr:cNvPr id="731037303" name="Chart3" title="Диаграмма">
          <a:extLst>
            <a:ext uri="{FF2B5EF4-FFF2-40B4-BE49-F238E27FC236}">
              <a16:creationId xmlns:a16="http://schemas.microsoft.com/office/drawing/2014/main" id="{00000000-0008-0000-0400-000077BE922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638175</xdr:colOff>
      <xdr:row>41</xdr:row>
      <xdr:rowOff>95250</xdr:rowOff>
    </xdr:from>
    <xdr:ext cx="5715000" cy="3533775"/>
    <xdr:pic>
      <xdr:nvPicPr>
        <xdr:cNvPr id="153310933" name="Chart4" title="Диаграмма">
          <a:extLst>
            <a:ext uri="{FF2B5EF4-FFF2-40B4-BE49-F238E27FC236}">
              <a16:creationId xmlns:a16="http://schemas.microsoft.com/office/drawing/2014/main" id="{00000000-0008-0000-0400-0000D556230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923925</xdr:colOff>
      <xdr:row>0</xdr:row>
      <xdr:rowOff>85725</xdr:rowOff>
    </xdr:from>
    <xdr:ext cx="5715000" cy="3533775"/>
    <xdr:graphicFrame macro="">
      <xdr:nvGraphicFramePr>
        <xdr:cNvPr id="5" name="Chart 5" title="Диаграмма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19050</xdr:colOff>
      <xdr:row>18</xdr:row>
      <xdr:rowOff>180975</xdr:rowOff>
    </xdr:from>
    <xdr:ext cx="5715000" cy="3533775"/>
    <xdr:graphicFrame macro="">
      <xdr:nvGraphicFramePr>
        <xdr:cNvPr id="6" name="Chart 6" title="Диаграмма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762000</xdr:colOff>
      <xdr:row>14</xdr:row>
      <xdr:rowOff>9525</xdr:rowOff>
    </xdr:from>
    <xdr:ext cx="5715000" cy="3533775"/>
    <xdr:graphicFrame macro="">
      <xdr:nvGraphicFramePr>
        <xdr:cNvPr id="7" name="Chart 7" title="Диаграмма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571500</xdr:colOff>
      <xdr:row>1</xdr:row>
      <xdr:rowOff>66675</xdr:rowOff>
    </xdr:from>
    <xdr:ext cx="5715000" cy="3533775"/>
    <xdr:graphicFrame macro="">
      <xdr:nvGraphicFramePr>
        <xdr:cNvPr id="8" name="Chart 8" title="Диаграмма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8</xdr:row>
      <xdr:rowOff>104775</xdr:rowOff>
    </xdr:from>
    <xdr:ext cx="5715000" cy="3533775"/>
    <xdr:graphicFrame macro="">
      <xdr:nvGraphicFramePr>
        <xdr:cNvPr id="9" name="Chart 9" title="Диаграмма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0</xdr:row>
      <xdr:rowOff>0</xdr:rowOff>
    </xdr:from>
    <xdr:ext cx="5715000" cy="3533775"/>
    <xdr:graphicFrame macro="">
      <xdr:nvGraphicFramePr>
        <xdr:cNvPr id="10" name="Chart 10" title="Диаграмма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723900</xdr:colOff>
      <xdr:row>0</xdr:row>
      <xdr:rowOff>0</xdr:rowOff>
    </xdr:from>
    <xdr:ext cx="5715000" cy="3533775"/>
    <xdr:graphicFrame macro="">
      <xdr:nvGraphicFramePr>
        <xdr:cNvPr id="11" name="Chart 11" title="Диаграмма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695325</xdr:colOff>
      <xdr:row>8</xdr:row>
      <xdr:rowOff>133350</xdr:rowOff>
    </xdr:from>
    <xdr:ext cx="5715000" cy="3533775"/>
    <xdr:graphicFrame macro="">
      <xdr:nvGraphicFramePr>
        <xdr:cNvPr id="12" name="Chart 12" title="Диаграмма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66675</xdr:colOff>
      <xdr:row>10</xdr:row>
      <xdr:rowOff>95250</xdr:rowOff>
    </xdr:from>
    <xdr:ext cx="5715000" cy="3533775"/>
    <xdr:graphicFrame macro="">
      <xdr:nvGraphicFramePr>
        <xdr:cNvPr id="13" name="Chart 13" title="Диаграмма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257175</xdr:colOff>
      <xdr:row>9</xdr:row>
      <xdr:rowOff>85725</xdr:rowOff>
    </xdr:from>
    <xdr:ext cx="5000625" cy="3095625"/>
    <xdr:graphicFrame macro="">
      <xdr:nvGraphicFramePr>
        <xdr:cNvPr id="14" name="Chart 14" title="Диаграмма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685800</xdr:colOff>
      <xdr:row>0</xdr:row>
      <xdr:rowOff>0</xdr:rowOff>
    </xdr:from>
    <xdr:ext cx="5715000" cy="3533775"/>
    <xdr:graphicFrame macro="">
      <xdr:nvGraphicFramePr>
        <xdr:cNvPr id="15" name="Chart 15" title="Диаграмма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0</xdr:row>
      <xdr:rowOff>104775</xdr:rowOff>
    </xdr:from>
    <xdr:ext cx="5715000" cy="3533775"/>
    <xdr:graphicFrame macro="">
      <xdr:nvGraphicFramePr>
        <xdr:cNvPr id="16" name="Chart 16" title="Диаграмма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1</xdr:row>
      <xdr:rowOff>0</xdr:rowOff>
    </xdr:from>
    <xdr:ext cx="5715000" cy="3533775"/>
    <xdr:graphicFrame macro="">
      <xdr:nvGraphicFramePr>
        <xdr:cNvPr id="17" name="Chart 17" title="Диаграмма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733425</xdr:colOff>
      <xdr:row>0</xdr:row>
      <xdr:rowOff>0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647700</xdr:colOff>
      <xdr:row>19</xdr:row>
      <xdr:rowOff>47625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314325</xdr:colOff>
      <xdr:row>1</xdr:row>
      <xdr:rowOff>28575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390525</xdr:colOff>
      <xdr:row>20</xdr:row>
      <xdr:rowOff>28575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</xdr:colOff>
      <xdr:row>11</xdr:row>
      <xdr:rowOff>152400</xdr:rowOff>
    </xdr:from>
    <xdr:ext cx="5715000" cy="3533775"/>
    <xdr:graphicFrame macro="">
      <xdr:nvGraphicFramePr>
        <xdr:cNvPr id="22" name="Chart 22" title="Диаграмма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400050</xdr:colOff>
      <xdr:row>0</xdr:row>
      <xdr:rowOff>0</xdr:rowOff>
    </xdr:from>
    <xdr:ext cx="5715000" cy="3533775"/>
    <xdr:graphicFrame macro="">
      <xdr:nvGraphicFramePr>
        <xdr:cNvPr id="23" name="Chart 23" title="Диаграмма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33875" cy="7505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499997" refreshedVersion="8" recordCount="6" xr:uid="{00000000-000A-0000-FFFF-FFFF0C000000}">
  <cacheSource type="worksheet">
    <worksheetSource ref="H10:I16" sheet="Ogive"/>
  </cacheSource>
  <cacheFields count="2">
    <cacheField name="Grouped " numFmtId="0">
      <sharedItems count="6">
        <s v="100 - 199"/>
        <s v="200 - 299"/>
        <s v="300 - 399"/>
        <s v="400 - 499"/>
        <s v="500 - 599"/>
        <s v="600 - 699"/>
      </sharedItems>
    </cacheField>
    <cacheField name="COUNT of " numFmtId="4">
      <sharedItems containsSemiMixedTypes="0" containsString="0" containsNumber="1" minValue="2.4390243902439025E-2" maxValue="0.365853658536585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615743" refreshedVersion="8" recordCount="8" xr:uid="{00000000-000A-0000-FFFF-FFFF0B000000}">
  <cacheSource type="worksheet">
    <worksheetSource ref="D12:E20" sheet="Ogive"/>
  </cacheSource>
  <cacheFields count="2">
    <cacheField name="Upper limit" numFmtId="0">
      <sharedItems containsSemiMixedTypes="0" containsString="0" containsNumber="1" containsInteger="1" minValue="0" maxValue="699" count="8">
        <n v="0"/>
        <n v="99"/>
        <n v="199"/>
        <n v="299"/>
        <n v="399"/>
        <n v="499"/>
        <n v="599"/>
        <n v="699"/>
      </sharedItems>
    </cacheField>
    <cacheField name="Frequency, Cumulative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731481" refreshedVersion="8" recordCount="45" xr:uid="{00000000-000A-0000-FFFF-FFFF0A000000}">
  <cacheSource type="worksheet">
    <worksheetSource ref="B1:B46" sheet="Polygon"/>
  </cacheSource>
  <cacheFields count="1">
    <cacheField name="Price" numFmtId="0">
      <sharedItems containsString="0" containsBlank="1" containsNumber="1" containsInteger="1" minValue="135" maxValue="628" count="41">
        <n v="156"/>
        <n v="145"/>
        <n v="187"/>
        <n v="135"/>
        <n v="151"/>
        <n v="136"/>
        <n v="141"/>
        <n v="167"/>
        <n v="221"/>
        <n v="276"/>
        <n v="209"/>
        <n v="297"/>
        <n v="300"/>
        <n v="232"/>
        <n v="246"/>
        <n v="296"/>
        <n v="240"/>
        <n v="252"/>
        <n v="248"/>
        <n v="226"/>
        <n v="251"/>
        <n v="227"/>
        <n v="277"/>
        <n v="220"/>
        <n v="341"/>
        <n v="388"/>
        <n v="391"/>
        <n v="336"/>
        <n v="378"/>
        <n v="347"/>
        <n v="303"/>
        <n v="448"/>
        <n v="431"/>
        <n v="483"/>
        <n v="419"/>
        <n v="487"/>
        <n v="594"/>
        <n v="532"/>
        <n v="517"/>
        <n v="628"/>
        <m/>
      </sharedItems>
      <fieldGroup base="0">
        <rangePr autoStart="0" autoEnd="0" startNum="0" endNum="700" groupInterval="100"/>
        <groupItems count="9">
          <s v="&lt;0 or (blank)"/>
          <s v="0-99"/>
          <s v="100-199"/>
          <s v="200-299"/>
          <s v="300-399"/>
          <s v="400-499"/>
          <s v="500-599"/>
          <s v="600-700"/>
          <s v="&gt;7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84722" refreshedVersion="8" recordCount="96" xr:uid="{00000000-000A-0000-FFFF-FFFF09000000}">
  <cacheSource type="worksheet">
    <worksheetSource ref="B1:B1000" sheet="5. contingency"/>
  </cacheSource>
  <cacheFields count="1">
    <cacheField name="Quality Rating" numFmtId="0">
      <sharedItems containsBlank="1" count="6">
        <s v="neutral"/>
        <s v="excellent"/>
        <s v="bad"/>
        <s v="good"/>
        <s v="very ba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84722" refreshedVersion="8" recordCount="999" xr:uid="{00000000-000A-0000-FFFF-FFFF08000000}">
  <cacheSource type="worksheet">
    <worksheetSource ref="A1:C1000" sheet="5. contingency"/>
  </cacheSource>
  <cacheFields count="3">
    <cacheField name="Restaurant" numFmtId="0">
      <sharedItems containsBlank="1"/>
    </cacheField>
    <cacheField name="Quality Rating" numFmtId="0">
      <sharedItems containsBlank="1" count="6">
        <s v="neutral"/>
        <s v="excellent"/>
        <s v="bad"/>
        <s v="good"/>
        <s v="very bad"/>
        <m/>
      </sharedItems>
    </cacheField>
    <cacheField name="Meal Price (KZT)" numFmtId="4">
      <sharedItems containsString="0" containsBlank="1" containsNumber="1" containsInteger="1" minValue="2500" maxValue="18000" count="66">
        <n v="14500"/>
        <n v="6700"/>
        <n v="8200"/>
        <n v="11000"/>
        <n v="3000"/>
        <n v="15500"/>
        <n v="7800"/>
        <n v="12000"/>
        <n v="8900"/>
        <n v="5600"/>
        <n v="17000"/>
        <n v="13500"/>
        <n v="4200"/>
        <n v="3700"/>
        <n v="15000"/>
        <n v="2700"/>
        <n v="14200"/>
        <n v="10300"/>
        <n v="3500"/>
        <n v="16000"/>
        <n v="5200"/>
        <n v="4800"/>
        <n v="7600"/>
        <n v="2950"/>
        <n v="12500"/>
        <n v="8600"/>
        <n v="10700"/>
        <n v="13000"/>
        <n v="2500"/>
        <n v="6300"/>
        <n v="9500"/>
        <n v="14900"/>
        <n v="4100"/>
        <n v="3400"/>
        <n v="9800"/>
        <n v="13200"/>
        <n v="5800"/>
        <n v="14700"/>
        <n v="11800"/>
        <n v="10400"/>
        <n v="2750"/>
        <n v="3300"/>
        <n v="13800"/>
        <n v="2600"/>
        <n v="2800"/>
        <n v="16200"/>
        <n v="5900"/>
        <n v="9200"/>
        <n v="18000"/>
        <n v="7400"/>
        <n v="11200"/>
        <n v="6600"/>
        <n v="10000"/>
        <n v="10600"/>
        <n v="17500"/>
        <n v="12700"/>
        <n v="14800"/>
        <n v="4400"/>
        <n v="16300"/>
        <n v="10900"/>
        <n v="6800"/>
        <n v="3200"/>
        <n v="9100"/>
        <n v="15200"/>
        <n v="45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962966" refreshedVersion="8" recordCount="999" xr:uid="{00000000-000A-0000-FFFF-FFFF07000000}">
  <cacheSource type="worksheet">
    <worksheetSource ref="A1:C1000" sheet="5. contingency"/>
  </cacheSource>
  <cacheFields count="3">
    <cacheField name="Restaurant" numFmtId="0">
      <sharedItems containsBlank="1"/>
    </cacheField>
    <cacheField name="Quality Rating" numFmtId="0">
      <sharedItems containsBlank="1" count="6">
        <s v="neutral"/>
        <s v="excellent"/>
        <s v="bad"/>
        <s v="good"/>
        <s v="very bad"/>
        <m/>
      </sharedItems>
    </cacheField>
    <cacheField name="Meal Price (KZT)" numFmtId="4">
      <sharedItems containsString="0" containsBlank="1" containsNumber="1" containsInteger="1" minValue="2500" maxValue="18000" count="66">
        <n v="14500"/>
        <n v="6700"/>
        <n v="8200"/>
        <n v="11000"/>
        <n v="3000"/>
        <n v="15500"/>
        <n v="7800"/>
        <n v="12000"/>
        <n v="8900"/>
        <n v="5600"/>
        <n v="17000"/>
        <n v="13500"/>
        <n v="4200"/>
        <n v="3700"/>
        <n v="15000"/>
        <n v="2700"/>
        <n v="14200"/>
        <n v="10300"/>
        <n v="3500"/>
        <n v="16000"/>
        <n v="5200"/>
        <n v="4800"/>
        <n v="7600"/>
        <n v="2950"/>
        <n v="12500"/>
        <n v="8600"/>
        <n v="10700"/>
        <n v="13000"/>
        <n v="2500"/>
        <n v="6300"/>
        <n v="9500"/>
        <n v="14900"/>
        <n v="4100"/>
        <n v="3400"/>
        <n v="9800"/>
        <n v="13200"/>
        <n v="5800"/>
        <n v="14700"/>
        <n v="11800"/>
        <n v="10400"/>
        <n v="2750"/>
        <n v="3300"/>
        <n v="13800"/>
        <n v="2600"/>
        <n v="2800"/>
        <n v="16200"/>
        <n v="5900"/>
        <n v="9200"/>
        <n v="18000"/>
        <n v="7400"/>
        <n v="11200"/>
        <n v="6600"/>
        <n v="10000"/>
        <n v="10600"/>
        <n v="17500"/>
        <n v="12700"/>
        <n v="14800"/>
        <n v="4400"/>
        <n v="16300"/>
        <n v="10900"/>
        <n v="6800"/>
        <n v="3200"/>
        <n v="9100"/>
        <n v="15200"/>
        <n v="4500"/>
        <m/>
      </sharedItems>
      <fieldGroup base="2">
        <rangePr autoStart="0" autoEnd="0" startNum="0" endNum="20000" groupInterval="5000"/>
        <groupItems count="6">
          <s v="&lt;0 or (blank)"/>
          <s v="0-4999"/>
          <s v="5000-9999"/>
          <s v="10000-14999"/>
          <s v="15000-20000"/>
          <s v="&gt;20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7962966" refreshedVersion="8" recordCount="20" xr:uid="{00000000-000A-0000-FFFF-FFFF06000000}">
  <cacheSource type="worksheet">
    <worksheetSource ref="B1:B21" sheet="questions"/>
  </cacheSource>
  <cacheFields count="1">
    <cacheField name="TABLE 2.4  waiting time in minutes" numFmtId="4">
      <sharedItems containsSemiMixedTypes="0" containsString="0" containsNumber="1" containsInteger="1" minValue="12" maxValue="33" count="15">
        <n v="12"/>
        <n v="15"/>
        <n v="20"/>
        <n v="22"/>
        <n v="14"/>
        <n v="27"/>
        <n v="21"/>
        <n v="18"/>
        <n v="19"/>
        <n v="33"/>
        <n v="16"/>
        <n v="17"/>
        <n v="23"/>
        <n v="28"/>
        <n v="13"/>
      </sharedItems>
      <fieldGroup base="0">
        <rangePr autoStart="0" autoEnd="0" startNum="0" endNum="35" groupInterval="5"/>
        <groupItems count="9">
          <s v="&lt;0"/>
          <s v="0-4"/>
          <s v="5-9"/>
          <s v="10-14"/>
          <s v="15-19"/>
          <s v="20-24"/>
          <s v="25-29"/>
          <s v="30-35"/>
          <s v="&gt;3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8078705" refreshedVersion="8" recordCount="38" xr:uid="{00000000-000A-0000-FFFF-FFFF05000000}">
  <cacheSource type="worksheet">
    <worksheetSource ref="A1:B39" sheet="4. Bins"/>
  </cacheSource>
  <cacheFields count="2">
    <cacheField name="Miles per gallon" numFmtId="0">
      <sharedItems containsSemiMixedTypes="0" containsString="0" containsNumber="1" containsInteger="1" minValue="68" maxValue="141" count="38">
        <n v="112"/>
        <n v="73"/>
        <n v="126"/>
        <n v="82"/>
        <n v="92"/>
        <n v="115"/>
        <n v="95"/>
        <n v="84"/>
        <n v="68"/>
        <n v="100"/>
        <n v="72"/>
        <n v="128"/>
        <n v="104"/>
        <n v="108"/>
        <n v="76"/>
        <n v="141"/>
        <n v="119"/>
        <n v="98"/>
        <n v="85"/>
        <n v="69"/>
        <n v="118"/>
        <n v="132"/>
        <n v="96"/>
        <n v="91"/>
        <n v="81"/>
        <n v="113"/>
        <n v="94"/>
        <n v="97"/>
        <n v="86"/>
        <n v="127"/>
        <n v="134"/>
        <n v="102"/>
        <n v="80"/>
        <n v="106"/>
        <n v="107"/>
        <n v="124"/>
        <n v="83"/>
        <n v="75"/>
      </sharedItems>
      <fieldGroup base="0">
        <rangePr autoStart="0" autoEnd="0" startNum="60" endNum="150" groupInterval="20"/>
        <groupItems count="7">
          <s v="&lt;60"/>
          <s v="60-79"/>
          <s v="80-99"/>
          <s v="100-119"/>
          <s v="120-139"/>
          <s v="140-159"/>
          <s v="&gt;160"/>
        </groupItems>
      </fieldGroup>
    </cacheField>
    <cacheField name="Decile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8078705" refreshedVersion="8" recordCount="16" xr:uid="{00000000-000A-0000-FFFF-FFFF04000000}">
  <cacheSource type="worksheet">
    <worksheetSource ref="A1:A1000" sheet="2. Bins"/>
  </cacheSource>
  <cacheFields count="1">
    <cacheField name="TABLE 2.4  waiting time in minutes" numFmtId="0">
      <sharedItems containsString="0" containsBlank="1" containsNumber="1" containsInteger="1" minValue="12" maxValue="33" count="16">
        <n v="12"/>
        <n v="15"/>
        <n v="20"/>
        <n v="22"/>
        <n v="14"/>
        <n v="27"/>
        <n v="21"/>
        <n v="18"/>
        <n v="19"/>
        <n v="33"/>
        <n v="16"/>
        <n v="17"/>
        <n v="23"/>
        <n v="28"/>
        <n v="13"/>
        <m/>
      </sharedItems>
      <fieldGroup base="0">
        <rangePr autoStart="0" autoEnd="0" startNum="5" endNum="40" groupInterval="5"/>
        <groupItems count="9">
          <s v="&lt;5 or (blank)"/>
          <s v="5-9"/>
          <s v="10-14"/>
          <s v="15-19"/>
          <s v="20-24"/>
          <s v="25-29"/>
          <s v="30-34"/>
          <s v="35-40"/>
          <s v="&gt;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8194443" refreshedVersion="8" recordCount="49" xr:uid="{00000000-000A-0000-FFFF-FFFF03000000}">
  <cacheSource type="worksheet">
    <worksheetSource ref="A1:A999" sheet="Sheet6"/>
  </cacheSource>
  <cacheFields count="1">
    <cacheField name="Unposted Final Score" numFmtId="0">
      <sharedItems containsString="0" containsBlank="1" containsNumber="1" minValue="0" maxValue="90.09" count="47">
        <n v="76.03"/>
        <n v="90.09"/>
        <n v="49.96"/>
        <n v="17.98"/>
        <n v="35.44"/>
        <n v="32.14"/>
        <n v="44.39"/>
        <n v="46.18"/>
        <n v="62.65"/>
        <n v="54.71"/>
        <n v="60.05"/>
        <n v="38.67"/>
        <n v="59.41"/>
        <n v="44.46"/>
        <n v="38.770000000000003"/>
        <n v="49.16"/>
        <n v="36.08"/>
        <n v="32.25"/>
        <n v="34.21"/>
        <n v="44.65"/>
        <n v="53.24"/>
        <n v="8.2799999999999994"/>
        <n v="0"/>
        <n v="71.010000000000005"/>
        <n v="44.51"/>
        <n v="32.53"/>
        <n v="51.8"/>
        <n v="59.97"/>
        <n v="43.22"/>
        <n v="31.53"/>
        <n v="60.09"/>
        <n v="40.21"/>
        <n v="46.49"/>
        <n v="41.89"/>
        <n v="51.55"/>
        <n v="33.840000000000003"/>
        <n v="22.24"/>
        <n v="62.56"/>
        <n v="38.409999999999997"/>
        <n v="48.72"/>
        <n v="43.41"/>
        <n v="39.950000000000003"/>
        <n v="56.07"/>
        <n v="33.6"/>
        <n v="53.18"/>
        <n v="27.65"/>
        <m/>
      </sharedItems>
      <fieldGroup base="0">
        <rangePr autoStart="0" autoEnd="0" startNum="0" endNum="100" groupInterval="10"/>
        <groupItems count="12">
          <s v="&lt;0 or (blank)"/>
          <s v="0-10"/>
          <s v="10-20"/>
          <s v="20-30"/>
          <s v="30-40"/>
          <s v="40-50"/>
          <s v="50-60"/>
          <s v="60-70"/>
          <s v="70-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8194443" refreshedVersion="8" recordCount="49" xr:uid="{00000000-000A-0000-FFFF-FFFF02000000}">
  <cacheSource type="worksheet">
    <worksheetSource ref="A1:A999" sheet="Sheet6"/>
  </cacheSource>
  <cacheFields count="1">
    <cacheField name="Unposted Final Score" numFmtId="0">
      <sharedItems containsString="0" containsBlank="1" containsNumber="1" minValue="0" maxValue="90.09" count="47">
        <n v="76.03"/>
        <n v="90.09"/>
        <n v="49.96"/>
        <n v="17.98"/>
        <n v="35.44"/>
        <n v="32.14"/>
        <n v="44.39"/>
        <n v="46.18"/>
        <n v="62.65"/>
        <n v="54.71"/>
        <n v="60.05"/>
        <n v="38.67"/>
        <n v="59.41"/>
        <n v="44.46"/>
        <n v="38.770000000000003"/>
        <n v="49.16"/>
        <n v="36.08"/>
        <n v="32.25"/>
        <n v="34.21"/>
        <n v="44.65"/>
        <n v="53.24"/>
        <n v="8.2799999999999994"/>
        <n v="0"/>
        <n v="71.010000000000005"/>
        <n v="44.51"/>
        <n v="32.53"/>
        <n v="51.8"/>
        <n v="59.97"/>
        <n v="43.22"/>
        <n v="31.53"/>
        <n v="60.09"/>
        <n v="40.21"/>
        <n v="46.49"/>
        <n v="41.89"/>
        <n v="51.55"/>
        <n v="33.840000000000003"/>
        <n v="22.24"/>
        <n v="62.56"/>
        <n v="38.409999999999997"/>
        <n v="48.72"/>
        <n v="43.41"/>
        <n v="39.950000000000003"/>
        <n v="56.07"/>
        <n v="33.6"/>
        <n v="53.18"/>
        <n v="27.65"/>
        <m/>
      </sharedItems>
      <fieldGroup base="0">
        <rangePr autoStart="0" autoEnd="0" startNum="0" endNum="100" groupInterval="10"/>
        <groupItems count="12">
          <s v="&lt;0 or (blank)"/>
          <s v="0-10"/>
          <s v="10-20"/>
          <s v="20-30"/>
          <s v="30-40"/>
          <s v="40-50"/>
          <s v="50-60"/>
          <s v="60-70"/>
          <s v="70-80"/>
          <s v="80-90"/>
          <s v="9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8310182" refreshedVersion="8" recordCount="48" xr:uid="{00000000-000A-0000-FFFF-FFFF01000000}">
  <cacheSource type="worksheet">
    <worksheetSource ref="B1:B1000" sheet="histogram"/>
  </cacheSource>
  <cacheFields count="1">
    <cacheField name="Price" numFmtId="0">
      <sharedItems containsString="0" containsBlank="1" containsNumber="1" containsInteger="1" minValue="135" maxValue="628" count="41">
        <n v="156"/>
        <n v="145"/>
        <n v="187"/>
        <n v="135"/>
        <n v="151"/>
        <n v="136"/>
        <n v="141"/>
        <n v="167"/>
        <n v="221"/>
        <n v="276"/>
        <n v="209"/>
        <n v="297"/>
        <n v="300"/>
        <n v="232"/>
        <n v="246"/>
        <n v="296"/>
        <n v="240"/>
        <n v="252"/>
        <n v="248"/>
        <n v="226"/>
        <n v="251"/>
        <n v="227"/>
        <n v="277"/>
        <n v="220"/>
        <n v="341"/>
        <n v="388"/>
        <n v="391"/>
        <n v="336"/>
        <n v="378"/>
        <n v="347"/>
        <n v="303"/>
        <n v="448"/>
        <n v="431"/>
        <n v="483"/>
        <n v="419"/>
        <n v="487"/>
        <n v="594"/>
        <n v="532"/>
        <n v="517"/>
        <n v="628"/>
        <m/>
      </sharedItems>
      <fieldGroup base="0">
        <rangePr autoStart="0" autoEnd="0" startNum="100" endNum="700" groupInterval="100"/>
        <groupItems count="8">
          <s v="&lt;100 or (blank)"/>
          <s v="100-199"/>
          <s v="200-299"/>
          <s v="300-399"/>
          <s v="400-499"/>
          <s v="500-599"/>
          <s v="600-700"/>
          <s v="&gt;7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il Zhdanov" refreshedDate="46092.805388310182" refreshedVersion="8" recordCount="48" xr:uid="{00000000-000A-0000-FFFF-FFFF00000000}">
  <cacheSource type="worksheet">
    <worksheetSource ref="B1:B1000" sheet="histogram"/>
  </cacheSource>
  <cacheFields count="1">
    <cacheField name="Price" numFmtId="0">
      <sharedItems containsString="0" containsBlank="1" containsNumber="1" containsInteger="1" minValue="135" maxValue="628" count="41">
        <n v="156"/>
        <n v="145"/>
        <n v="187"/>
        <n v="135"/>
        <n v="151"/>
        <n v="136"/>
        <n v="141"/>
        <n v="167"/>
        <n v="221"/>
        <n v="276"/>
        <n v="209"/>
        <n v="297"/>
        <n v="300"/>
        <n v="232"/>
        <n v="246"/>
        <n v="296"/>
        <n v="240"/>
        <n v="252"/>
        <n v="248"/>
        <n v="226"/>
        <n v="251"/>
        <n v="227"/>
        <n v="277"/>
        <n v="220"/>
        <n v="341"/>
        <n v="388"/>
        <n v="391"/>
        <n v="336"/>
        <n v="378"/>
        <n v="347"/>
        <n v="303"/>
        <n v="448"/>
        <n v="431"/>
        <n v="483"/>
        <n v="419"/>
        <n v="487"/>
        <n v="594"/>
        <n v="532"/>
        <n v="517"/>
        <n v="628"/>
        <m/>
      </sharedItems>
      <fieldGroup base="0">
        <rangePr autoStart="0" autoEnd="0" startNum="100" endNum="700" groupInterval="100"/>
        <groupItems count="8">
          <s v="&lt;100 or (blank)"/>
          <s v="100-199"/>
          <s v="200-299"/>
          <s v="300-399"/>
          <s v="400-499"/>
          <s v="500-599"/>
          <s v="600-700"/>
          <s v="&gt;7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.1951219512195122"/>
  </r>
  <r>
    <x v="1"/>
    <n v="0.36585365853658536"/>
  </r>
  <r>
    <x v="2"/>
    <n v="0.21951219512195122"/>
  </r>
  <r>
    <x v="3"/>
    <n v="0.12195121951219512"/>
  </r>
  <r>
    <x v="4"/>
    <n v="7.3170731707317069E-2"/>
  </r>
  <r>
    <x v="5"/>
    <n v="2.439024390243902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0"/>
  </r>
  <r>
    <x v="1"/>
    <n v="0"/>
  </r>
  <r>
    <x v="2"/>
    <n v="0.1951219512195122"/>
  </r>
  <r>
    <x v="3"/>
    <n v="0.56097560975609762"/>
  </r>
  <r>
    <x v="4"/>
    <n v="0.78048780487804881"/>
  </r>
  <r>
    <x v="5"/>
    <n v="0.90243902439024393"/>
  </r>
  <r>
    <x v="6"/>
    <n v="0.97560975609756095"/>
  </r>
  <r>
    <x v="7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0"/>
  </r>
  <r>
    <x v="40"/>
  </r>
  <r>
    <x v="4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</r>
  <r>
    <x v="1"/>
  </r>
  <r>
    <x v="2"/>
  </r>
  <r>
    <x v="3"/>
  </r>
  <r>
    <x v="4"/>
  </r>
  <r>
    <x v="3"/>
  </r>
  <r>
    <x v="0"/>
  </r>
  <r>
    <x v="1"/>
  </r>
  <r>
    <x v="2"/>
  </r>
  <r>
    <x v="0"/>
  </r>
  <r>
    <x v="3"/>
  </r>
  <r>
    <x v="1"/>
  </r>
  <r>
    <x v="0"/>
  </r>
  <r>
    <x v="4"/>
  </r>
  <r>
    <x v="1"/>
  </r>
  <r>
    <x v="2"/>
  </r>
  <r>
    <x v="3"/>
  </r>
  <r>
    <x v="0"/>
  </r>
  <r>
    <x v="1"/>
  </r>
  <r>
    <x v="2"/>
  </r>
  <r>
    <x v="1"/>
  </r>
  <r>
    <x v="0"/>
  </r>
  <r>
    <x v="2"/>
  </r>
  <r>
    <x v="3"/>
  </r>
  <r>
    <x v="4"/>
  </r>
  <r>
    <x v="1"/>
  </r>
  <r>
    <x v="2"/>
  </r>
  <r>
    <x v="0"/>
  </r>
  <r>
    <x v="1"/>
  </r>
  <r>
    <x v="4"/>
  </r>
  <r>
    <x v="0"/>
  </r>
  <r>
    <x v="3"/>
  </r>
  <r>
    <x v="1"/>
  </r>
  <r>
    <x v="0"/>
  </r>
  <r>
    <x v="2"/>
  </r>
  <r>
    <x v="3"/>
  </r>
  <r>
    <x v="1"/>
  </r>
  <r>
    <x v="2"/>
  </r>
  <r>
    <x v="3"/>
  </r>
  <r>
    <x v="0"/>
  </r>
  <r>
    <x v="3"/>
  </r>
  <r>
    <x v="1"/>
  </r>
  <r>
    <x v="0"/>
  </r>
  <r>
    <x v="4"/>
  </r>
  <r>
    <x v="2"/>
  </r>
  <r>
    <x v="3"/>
  </r>
  <r>
    <x v="1"/>
  </r>
  <r>
    <x v="4"/>
  </r>
  <r>
    <x v="0"/>
  </r>
  <r>
    <x v="2"/>
  </r>
  <r>
    <x v="1"/>
  </r>
  <r>
    <x v="2"/>
  </r>
  <r>
    <x v="3"/>
  </r>
  <r>
    <x v="4"/>
  </r>
  <r>
    <x v="1"/>
  </r>
  <r>
    <x v="0"/>
  </r>
  <r>
    <x v="1"/>
  </r>
  <r>
    <x v="2"/>
  </r>
  <r>
    <x v="3"/>
  </r>
  <r>
    <x v="4"/>
  </r>
  <r>
    <x v="2"/>
  </r>
  <r>
    <x v="3"/>
  </r>
  <r>
    <x v="0"/>
  </r>
  <r>
    <x v="1"/>
  </r>
  <r>
    <x v="2"/>
  </r>
  <r>
    <x v="1"/>
  </r>
  <r>
    <x v="0"/>
  </r>
  <r>
    <x v="3"/>
  </r>
  <r>
    <x v="4"/>
  </r>
  <r>
    <x v="1"/>
  </r>
  <r>
    <x v="0"/>
  </r>
  <r>
    <x v="1"/>
  </r>
  <r>
    <x v="2"/>
  </r>
  <r>
    <x v="3"/>
  </r>
  <r>
    <x v="4"/>
  </r>
  <r>
    <x v="3"/>
  </r>
  <r>
    <x v="0"/>
  </r>
  <r>
    <x v="1"/>
  </r>
  <r>
    <x v="2"/>
  </r>
  <r>
    <x v="0"/>
  </r>
  <r>
    <x v="1"/>
  </r>
  <r>
    <x v="3"/>
  </r>
  <r>
    <x v="0"/>
  </r>
  <r>
    <x v="4"/>
  </r>
  <r>
    <x v="1"/>
  </r>
  <r>
    <x v="2"/>
  </r>
  <r>
    <x v="1"/>
  </r>
  <r>
    <x v="3"/>
  </r>
  <r>
    <x v="0"/>
  </r>
  <r>
    <x v="4"/>
  </r>
  <r>
    <x v="3"/>
  </r>
  <r>
    <x v="0"/>
  </r>
  <r>
    <x v="1"/>
  </r>
  <r>
    <x v="2"/>
  </r>
  <r>
    <x v="3"/>
  </r>
  <r>
    <x v="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Restaurant B"/>
    <x v="0"/>
    <x v="0"/>
  </r>
  <r>
    <s v="Restaurant C"/>
    <x v="1"/>
    <x v="1"/>
  </r>
  <r>
    <s v="Restaurant A"/>
    <x v="2"/>
    <x v="2"/>
  </r>
  <r>
    <s v="Restaurant E"/>
    <x v="3"/>
    <x v="3"/>
  </r>
  <r>
    <s v="Restaurant D"/>
    <x v="4"/>
    <x v="4"/>
  </r>
  <r>
    <s v="Restaurant B"/>
    <x v="3"/>
    <x v="5"/>
  </r>
  <r>
    <s v="Restaurant A"/>
    <x v="0"/>
    <x v="6"/>
  </r>
  <r>
    <s v="Restaurant E"/>
    <x v="1"/>
    <x v="7"/>
  </r>
  <r>
    <s v="Restaurant C"/>
    <x v="2"/>
    <x v="8"/>
  </r>
  <r>
    <s v="Restaurant D"/>
    <x v="0"/>
    <x v="9"/>
  </r>
  <r>
    <s v="Restaurant A"/>
    <x v="3"/>
    <x v="10"/>
  </r>
  <r>
    <s v="Restaurant B"/>
    <x v="1"/>
    <x v="11"/>
  </r>
  <r>
    <s v="Restaurant E"/>
    <x v="0"/>
    <x v="12"/>
  </r>
  <r>
    <s v="Restaurant D"/>
    <x v="4"/>
    <x v="13"/>
  </r>
  <r>
    <s v="Restaurant C"/>
    <x v="1"/>
    <x v="14"/>
  </r>
  <r>
    <s v="Restaurant A"/>
    <x v="2"/>
    <x v="15"/>
  </r>
  <r>
    <s v="Restaurant B"/>
    <x v="3"/>
    <x v="16"/>
  </r>
  <r>
    <s v="Restaurant C"/>
    <x v="0"/>
    <x v="17"/>
  </r>
  <r>
    <s v="Restaurant E"/>
    <x v="1"/>
    <x v="0"/>
  </r>
  <r>
    <s v="Restaurant D"/>
    <x v="2"/>
    <x v="18"/>
  </r>
  <r>
    <s v="Restaurant A"/>
    <x v="1"/>
    <x v="19"/>
  </r>
  <r>
    <s v="Restaurant B"/>
    <x v="0"/>
    <x v="20"/>
  </r>
  <r>
    <s v="Restaurant E"/>
    <x v="2"/>
    <x v="21"/>
  </r>
  <r>
    <s v="Restaurant C"/>
    <x v="3"/>
    <x v="22"/>
  </r>
  <r>
    <s v="Restaurant D"/>
    <x v="4"/>
    <x v="23"/>
  </r>
  <r>
    <s v="Restaurant B"/>
    <x v="1"/>
    <x v="24"/>
  </r>
  <r>
    <s v="Restaurant A"/>
    <x v="2"/>
    <x v="25"/>
  </r>
  <r>
    <s v="Restaurant C"/>
    <x v="0"/>
    <x v="26"/>
  </r>
  <r>
    <s v="Restaurant E"/>
    <x v="1"/>
    <x v="27"/>
  </r>
  <r>
    <s v="Restaurant D"/>
    <x v="4"/>
    <x v="28"/>
  </r>
  <r>
    <s v="Restaurant A"/>
    <x v="0"/>
    <x v="29"/>
  </r>
  <r>
    <s v="Restaurant B"/>
    <x v="3"/>
    <x v="30"/>
  </r>
  <r>
    <s v="Restaurant C"/>
    <x v="1"/>
    <x v="31"/>
  </r>
  <r>
    <s v="Restaurant E"/>
    <x v="0"/>
    <x v="32"/>
  </r>
  <r>
    <s v="Restaurant D"/>
    <x v="2"/>
    <x v="33"/>
  </r>
  <r>
    <s v="Restaurant A"/>
    <x v="3"/>
    <x v="34"/>
  </r>
  <r>
    <s v="Restaurant B"/>
    <x v="1"/>
    <x v="11"/>
  </r>
  <r>
    <s v="Restaurant C"/>
    <x v="2"/>
    <x v="1"/>
  </r>
  <r>
    <s v="Restaurant E"/>
    <x v="3"/>
    <x v="35"/>
  </r>
  <r>
    <s v="Restaurant D"/>
    <x v="0"/>
    <x v="36"/>
  </r>
  <r>
    <s v="Restaurant B"/>
    <x v="3"/>
    <x v="37"/>
  </r>
  <r>
    <s v="Restaurant A"/>
    <x v="1"/>
    <x v="38"/>
  </r>
  <r>
    <s v="Restaurant C"/>
    <x v="0"/>
    <x v="39"/>
  </r>
  <r>
    <s v="Restaurant E"/>
    <x v="4"/>
    <x v="40"/>
  </r>
  <r>
    <s v="Restaurant D"/>
    <x v="2"/>
    <x v="41"/>
  </r>
  <r>
    <s v="Restaurant A"/>
    <x v="3"/>
    <x v="5"/>
  </r>
  <r>
    <s v="Restaurant B"/>
    <x v="1"/>
    <x v="42"/>
  </r>
  <r>
    <s v="Restaurant C"/>
    <x v="4"/>
    <x v="43"/>
  </r>
  <r>
    <s v="Restaurant E"/>
    <x v="0"/>
    <x v="12"/>
  </r>
  <r>
    <s v="Restaurant D"/>
    <x v="2"/>
    <x v="44"/>
  </r>
  <r>
    <s v="Restaurant A"/>
    <x v="1"/>
    <x v="45"/>
  </r>
  <r>
    <s v="Restaurant B"/>
    <x v="2"/>
    <x v="46"/>
  </r>
  <r>
    <s v="Restaurant C"/>
    <x v="3"/>
    <x v="47"/>
  </r>
  <r>
    <s v="Restaurant E"/>
    <x v="4"/>
    <x v="33"/>
  </r>
  <r>
    <s v="Restaurant D"/>
    <x v="1"/>
    <x v="48"/>
  </r>
  <r>
    <s v="Restaurant A"/>
    <x v="0"/>
    <x v="49"/>
  </r>
  <r>
    <s v="Restaurant B"/>
    <x v="1"/>
    <x v="50"/>
  </r>
  <r>
    <s v="Restaurant C"/>
    <x v="2"/>
    <x v="51"/>
  </r>
  <r>
    <s v="Restaurant E"/>
    <x v="3"/>
    <x v="24"/>
  </r>
  <r>
    <s v="Restaurant D"/>
    <x v="4"/>
    <x v="4"/>
  </r>
  <r>
    <s v="Restaurant A"/>
    <x v="2"/>
    <x v="2"/>
  </r>
  <r>
    <s v="Restaurant B"/>
    <x v="3"/>
    <x v="52"/>
  </r>
  <r>
    <s v="Restaurant C"/>
    <x v="0"/>
    <x v="53"/>
  </r>
  <r>
    <s v="Restaurant E"/>
    <x v="1"/>
    <x v="11"/>
  </r>
  <r>
    <s v="Restaurant D"/>
    <x v="2"/>
    <x v="33"/>
  </r>
  <r>
    <s v="Restaurant A"/>
    <x v="1"/>
    <x v="54"/>
  </r>
  <r>
    <s v="Restaurant B"/>
    <x v="0"/>
    <x v="20"/>
  </r>
  <r>
    <s v="Restaurant C"/>
    <x v="3"/>
    <x v="34"/>
  </r>
  <r>
    <s v="Restaurant E"/>
    <x v="4"/>
    <x v="15"/>
  </r>
  <r>
    <s v="Restaurant D"/>
    <x v="1"/>
    <x v="19"/>
  </r>
  <r>
    <s v="Restaurant A"/>
    <x v="0"/>
    <x v="1"/>
  </r>
  <r>
    <s v="Restaurant B"/>
    <x v="1"/>
    <x v="35"/>
  </r>
  <r>
    <s v="Restaurant C"/>
    <x v="2"/>
    <x v="22"/>
  </r>
  <r>
    <s v="Restaurant E"/>
    <x v="3"/>
    <x v="55"/>
  </r>
  <r>
    <s v="Restaurant D"/>
    <x v="4"/>
    <x v="33"/>
  </r>
  <r>
    <s v="Restaurant A"/>
    <x v="3"/>
    <x v="56"/>
  </r>
  <r>
    <s v="Restaurant B"/>
    <x v="0"/>
    <x v="26"/>
  </r>
  <r>
    <s v="Restaurant C"/>
    <x v="1"/>
    <x v="0"/>
  </r>
  <r>
    <s v="Restaurant E"/>
    <x v="2"/>
    <x v="57"/>
  </r>
  <r>
    <s v="Restaurant D"/>
    <x v="0"/>
    <x v="9"/>
  </r>
  <r>
    <s v="Restaurant A"/>
    <x v="1"/>
    <x v="58"/>
  </r>
  <r>
    <s v="Restaurant B"/>
    <x v="3"/>
    <x v="59"/>
  </r>
  <r>
    <s v="Restaurant C"/>
    <x v="0"/>
    <x v="47"/>
  </r>
  <r>
    <s v="Restaurant E"/>
    <x v="4"/>
    <x v="43"/>
  </r>
  <r>
    <s v="Restaurant D"/>
    <x v="1"/>
    <x v="10"/>
  </r>
  <r>
    <s v="Restaurant A"/>
    <x v="2"/>
    <x v="1"/>
  </r>
  <r>
    <s v="Restaurant B"/>
    <x v="1"/>
    <x v="7"/>
  </r>
  <r>
    <s v="Restaurant C"/>
    <x v="3"/>
    <x v="26"/>
  </r>
  <r>
    <s v="Restaurant E"/>
    <x v="0"/>
    <x v="60"/>
  </r>
  <r>
    <s v="Restaurant D"/>
    <x v="4"/>
    <x v="61"/>
  </r>
  <r>
    <s v="Restaurant A"/>
    <x v="3"/>
    <x v="34"/>
  </r>
  <r>
    <s v="Restaurant B"/>
    <x v="0"/>
    <x v="62"/>
  </r>
  <r>
    <s v="Restaurant C"/>
    <x v="1"/>
    <x v="63"/>
  </r>
  <r>
    <s v="Restaurant E"/>
    <x v="2"/>
    <x v="64"/>
  </r>
  <r>
    <s v="Restaurant D"/>
    <x v="3"/>
    <x v="38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Restaurant B"/>
    <x v="0"/>
    <x v="0"/>
  </r>
  <r>
    <s v="Restaurant C"/>
    <x v="1"/>
    <x v="1"/>
  </r>
  <r>
    <s v="Restaurant A"/>
    <x v="2"/>
    <x v="2"/>
  </r>
  <r>
    <s v="Restaurant E"/>
    <x v="3"/>
    <x v="3"/>
  </r>
  <r>
    <s v="Restaurant D"/>
    <x v="4"/>
    <x v="4"/>
  </r>
  <r>
    <s v="Restaurant B"/>
    <x v="3"/>
    <x v="5"/>
  </r>
  <r>
    <s v="Restaurant A"/>
    <x v="0"/>
    <x v="6"/>
  </r>
  <r>
    <s v="Restaurant E"/>
    <x v="1"/>
    <x v="7"/>
  </r>
  <r>
    <s v="Restaurant C"/>
    <x v="2"/>
    <x v="8"/>
  </r>
  <r>
    <s v="Restaurant D"/>
    <x v="0"/>
    <x v="9"/>
  </r>
  <r>
    <s v="Restaurant A"/>
    <x v="3"/>
    <x v="10"/>
  </r>
  <r>
    <s v="Restaurant B"/>
    <x v="1"/>
    <x v="11"/>
  </r>
  <r>
    <s v="Restaurant E"/>
    <x v="0"/>
    <x v="12"/>
  </r>
  <r>
    <s v="Restaurant D"/>
    <x v="4"/>
    <x v="13"/>
  </r>
  <r>
    <s v="Restaurant C"/>
    <x v="1"/>
    <x v="14"/>
  </r>
  <r>
    <s v="Restaurant A"/>
    <x v="2"/>
    <x v="15"/>
  </r>
  <r>
    <s v="Restaurant B"/>
    <x v="3"/>
    <x v="16"/>
  </r>
  <r>
    <s v="Restaurant C"/>
    <x v="0"/>
    <x v="17"/>
  </r>
  <r>
    <s v="Restaurant E"/>
    <x v="1"/>
    <x v="0"/>
  </r>
  <r>
    <s v="Restaurant D"/>
    <x v="2"/>
    <x v="18"/>
  </r>
  <r>
    <s v="Restaurant A"/>
    <x v="1"/>
    <x v="19"/>
  </r>
  <r>
    <s v="Restaurant B"/>
    <x v="0"/>
    <x v="20"/>
  </r>
  <r>
    <s v="Restaurant E"/>
    <x v="2"/>
    <x v="21"/>
  </r>
  <r>
    <s v="Restaurant C"/>
    <x v="3"/>
    <x v="22"/>
  </r>
  <r>
    <s v="Restaurant D"/>
    <x v="4"/>
    <x v="23"/>
  </r>
  <r>
    <s v="Restaurant B"/>
    <x v="1"/>
    <x v="24"/>
  </r>
  <r>
    <s v="Restaurant A"/>
    <x v="2"/>
    <x v="25"/>
  </r>
  <r>
    <s v="Restaurant C"/>
    <x v="0"/>
    <x v="26"/>
  </r>
  <r>
    <s v="Restaurant E"/>
    <x v="1"/>
    <x v="27"/>
  </r>
  <r>
    <s v="Restaurant D"/>
    <x v="4"/>
    <x v="28"/>
  </r>
  <r>
    <s v="Restaurant A"/>
    <x v="0"/>
    <x v="29"/>
  </r>
  <r>
    <s v="Restaurant B"/>
    <x v="3"/>
    <x v="30"/>
  </r>
  <r>
    <s v="Restaurant C"/>
    <x v="1"/>
    <x v="31"/>
  </r>
  <r>
    <s v="Restaurant E"/>
    <x v="0"/>
    <x v="32"/>
  </r>
  <r>
    <s v="Restaurant D"/>
    <x v="2"/>
    <x v="33"/>
  </r>
  <r>
    <s v="Restaurant A"/>
    <x v="3"/>
    <x v="34"/>
  </r>
  <r>
    <s v="Restaurant B"/>
    <x v="1"/>
    <x v="11"/>
  </r>
  <r>
    <s v="Restaurant C"/>
    <x v="2"/>
    <x v="1"/>
  </r>
  <r>
    <s v="Restaurant E"/>
    <x v="3"/>
    <x v="35"/>
  </r>
  <r>
    <s v="Restaurant D"/>
    <x v="0"/>
    <x v="36"/>
  </r>
  <r>
    <s v="Restaurant B"/>
    <x v="3"/>
    <x v="37"/>
  </r>
  <r>
    <s v="Restaurant A"/>
    <x v="1"/>
    <x v="38"/>
  </r>
  <r>
    <s v="Restaurant C"/>
    <x v="0"/>
    <x v="39"/>
  </r>
  <r>
    <s v="Restaurant E"/>
    <x v="4"/>
    <x v="40"/>
  </r>
  <r>
    <s v="Restaurant D"/>
    <x v="2"/>
    <x v="41"/>
  </r>
  <r>
    <s v="Restaurant A"/>
    <x v="3"/>
    <x v="5"/>
  </r>
  <r>
    <s v="Restaurant B"/>
    <x v="1"/>
    <x v="42"/>
  </r>
  <r>
    <s v="Restaurant C"/>
    <x v="4"/>
    <x v="43"/>
  </r>
  <r>
    <s v="Restaurant E"/>
    <x v="0"/>
    <x v="12"/>
  </r>
  <r>
    <s v="Restaurant D"/>
    <x v="2"/>
    <x v="44"/>
  </r>
  <r>
    <s v="Restaurant A"/>
    <x v="1"/>
    <x v="45"/>
  </r>
  <r>
    <s v="Restaurant B"/>
    <x v="2"/>
    <x v="46"/>
  </r>
  <r>
    <s v="Restaurant C"/>
    <x v="3"/>
    <x v="47"/>
  </r>
  <r>
    <s v="Restaurant E"/>
    <x v="4"/>
    <x v="33"/>
  </r>
  <r>
    <s v="Restaurant D"/>
    <x v="1"/>
    <x v="48"/>
  </r>
  <r>
    <s v="Restaurant A"/>
    <x v="0"/>
    <x v="49"/>
  </r>
  <r>
    <s v="Restaurant B"/>
    <x v="1"/>
    <x v="50"/>
  </r>
  <r>
    <s v="Restaurant C"/>
    <x v="2"/>
    <x v="51"/>
  </r>
  <r>
    <s v="Restaurant E"/>
    <x v="3"/>
    <x v="24"/>
  </r>
  <r>
    <s v="Restaurant D"/>
    <x v="4"/>
    <x v="4"/>
  </r>
  <r>
    <s v="Restaurant A"/>
    <x v="2"/>
    <x v="2"/>
  </r>
  <r>
    <s v="Restaurant B"/>
    <x v="3"/>
    <x v="52"/>
  </r>
  <r>
    <s v="Restaurant C"/>
    <x v="0"/>
    <x v="53"/>
  </r>
  <r>
    <s v="Restaurant E"/>
    <x v="1"/>
    <x v="11"/>
  </r>
  <r>
    <s v="Restaurant D"/>
    <x v="2"/>
    <x v="33"/>
  </r>
  <r>
    <s v="Restaurant A"/>
    <x v="1"/>
    <x v="54"/>
  </r>
  <r>
    <s v="Restaurant B"/>
    <x v="0"/>
    <x v="20"/>
  </r>
  <r>
    <s v="Restaurant C"/>
    <x v="3"/>
    <x v="34"/>
  </r>
  <r>
    <s v="Restaurant E"/>
    <x v="4"/>
    <x v="15"/>
  </r>
  <r>
    <s v="Restaurant D"/>
    <x v="1"/>
    <x v="19"/>
  </r>
  <r>
    <s v="Restaurant A"/>
    <x v="0"/>
    <x v="1"/>
  </r>
  <r>
    <s v="Restaurant B"/>
    <x v="1"/>
    <x v="35"/>
  </r>
  <r>
    <s v="Restaurant C"/>
    <x v="2"/>
    <x v="22"/>
  </r>
  <r>
    <s v="Restaurant E"/>
    <x v="3"/>
    <x v="55"/>
  </r>
  <r>
    <s v="Restaurant D"/>
    <x v="4"/>
    <x v="33"/>
  </r>
  <r>
    <s v="Restaurant A"/>
    <x v="3"/>
    <x v="56"/>
  </r>
  <r>
    <s v="Restaurant B"/>
    <x v="0"/>
    <x v="26"/>
  </r>
  <r>
    <s v="Restaurant C"/>
    <x v="1"/>
    <x v="0"/>
  </r>
  <r>
    <s v="Restaurant E"/>
    <x v="2"/>
    <x v="57"/>
  </r>
  <r>
    <s v="Restaurant D"/>
    <x v="0"/>
    <x v="9"/>
  </r>
  <r>
    <s v="Restaurant A"/>
    <x v="1"/>
    <x v="58"/>
  </r>
  <r>
    <s v="Restaurant B"/>
    <x v="3"/>
    <x v="59"/>
  </r>
  <r>
    <s v="Restaurant C"/>
    <x v="0"/>
    <x v="47"/>
  </r>
  <r>
    <s v="Restaurant E"/>
    <x v="4"/>
    <x v="43"/>
  </r>
  <r>
    <s v="Restaurant D"/>
    <x v="1"/>
    <x v="10"/>
  </r>
  <r>
    <s v="Restaurant A"/>
    <x v="2"/>
    <x v="1"/>
  </r>
  <r>
    <s v="Restaurant B"/>
    <x v="1"/>
    <x v="7"/>
  </r>
  <r>
    <s v="Restaurant C"/>
    <x v="3"/>
    <x v="26"/>
  </r>
  <r>
    <s v="Restaurant E"/>
    <x v="0"/>
    <x v="60"/>
  </r>
  <r>
    <s v="Restaurant D"/>
    <x v="4"/>
    <x v="61"/>
  </r>
  <r>
    <s v="Restaurant A"/>
    <x v="3"/>
    <x v="34"/>
  </r>
  <r>
    <s v="Restaurant B"/>
    <x v="0"/>
    <x v="62"/>
  </r>
  <r>
    <s v="Restaurant C"/>
    <x v="1"/>
    <x v="63"/>
  </r>
  <r>
    <s v="Restaurant E"/>
    <x v="2"/>
    <x v="64"/>
  </r>
  <r>
    <s v="Restaurant D"/>
    <x v="3"/>
    <x v="38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  <r>
    <m/>
    <x v="5"/>
    <x v="6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</r>
  <r>
    <x v="1"/>
  </r>
  <r>
    <x v="2"/>
  </r>
  <r>
    <x v="3"/>
  </r>
  <r>
    <x v="4"/>
  </r>
  <r>
    <x v="4"/>
  </r>
  <r>
    <x v="1"/>
  </r>
  <r>
    <x v="5"/>
  </r>
  <r>
    <x v="6"/>
  </r>
  <r>
    <x v="7"/>
  </r>
  <r>
    <x v="8"/>
  </r>
  <r>
    <x v="7"/>
  </r>
  <r>
    <x v="3"/>
  </r>
  <r>
    <x v="9"/>
  </r>
  <r>
    <x v="10"/>
  </r>
  <r>
    <x v="7"/>
  </r>
  <r>
    <x v="11"/>
  </r>
  <r>
    <x v="12"/>
  </r>
  <r>
    <x v="13"/>
  </r>
  <r>
    <x v="1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4"/>
  </r>
  <r>
    <x v="1"/>
    <n v="10"/>
  </r>
  <r>
    <x v="2"/>
    <n v="2"/>
  </r>
  <r>
    <x v="3"/>
    <n v="8"/>
  </r>
  <r>
    <x v="4"/>
    <n v="7"/>
  </r>
  <r>
    <x v="5"/>
    <n v="3"/>
  </r>
  <r>
    <x v="6"/>
    <n v="6"/>
  </r>
  <r>
    <x v="7"/>
    <n v="8"/>
  </r>
  <r>
    <x v="8"/>
    <n v="10"/>
  </r>
  <r>
    <x v="9"/>
    <n v="5"/>
  </r>
  <r>
    <x v="10"/>
    <n v="10"/>
  </r>
  <r>
    <x v="11"/>
    <n v="2"/>
  </r>
  <r>
    <x v="12"/>
    <n v="5"/>
  </r>
  <r>
    <x v="13"/>
    <n v="4"/>
  </r>
  <r>
    <x v="14"/>
    <n v="9"/>
  </r>
  <r>
    <x v="15"/>
    <n v="1"/>
  </r>
  <r>
    <x v="16"/>
    <n v="3"/>
  </r>
  <r>
    <x v="17"/>
    <n v="5"/>
  </r>
  <r>
    <x v="18"/>
    <n v="8"/>
  </r>
  <r>
    <x v="19"/>
    <n v="10"/>
  </r>
  <r>
    <x v="20"/>
    <n v="3"/>
  </r>
  <r>
    <x v="21"/>
    <n v="1"/>
  </r>
  <r>
    <x v="22"/>
    <n v="6"/>
  </r>
  <r>
    <x v="23"/>
    <n v="7"/>
  </r>
  <r>
    <x v="24"/>
    <n v="9"/>
  </r>
  <r>
    <x v="25"/>
    <n v="3"/>
  </r>
  <r>
    <x v="26"/>
    <n v="7"/>
  </r>
  <r>
    <x v="27"/>
    <n v="6"/>
  </r>
  <r>
    <x v="28"/>
    <n v="7"/>
  </r>
  <r>
    <x v="29"/>
    <n v="2"/>
  </r>
  <r>
    <x v="30"/>
    <n v="1"/>
  </r>
  <r>
    <x v="31"/>
    <n v="5"/>
  </r>
  <r>
    <x v="32"/>
    <n v="9"/>
  </r>
  <r>
    <x v="33"/>
    <n v="4"/>
  </r>
  <r>
    <x v="34"/>
    <n v="4"/>
  </r>
  <r>
    <x v="35"/>
    <n v="2"/>
  </r>
  <r>
    <x v="36"/>
    <n v="8"/>
  </r>
  <r>
    <x v="37"/>
    <n v="9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6"/>
  </r>
  <r>
    <x v="46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6"/>
  </r>
  <r>
    <x v="46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0"/>
  </r>
  <r>
    <x v="40"/>
  </r>
  <r>
    <x v="40"/>
  </r>
  <r>
    <x v="40"/>
  </r>
  <r>
    <x v="40"/>
  </r>
  <r>
    <x v="4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0"/>
  </r>
  <r>
    <x v="40"/>
  </r>
  <r>
    <x v="40"/>
  </r>
  <r>
    <x v="40"/>
  </r>
  <r>
    <x v="40"/>
  </r>
  <r>
    <x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histogram" cacheId="66" applyNumberFormats="0" applyBorderFormats="0" applyFontFormats="0" applyPatternFormats="0" applyAlignmentFormats="0" applyWidthHeightFormats="0" dataCaption="" updatedVersion="8" compact="0" compactData="0">
  <location ref="K1:L9" firstHeaderRow="1" firstDataRow="1" firstDataCol="1"/>
  <pivotFields count="1">
    <pivotField name="Price" axis="axisRow" dataField="1" compact="0" outline="0" multipleItemSelectionAllowed="1" showAll="0" sortType="ascending">
      <items count="9">
        <item x="0"/>
        <item x="7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A of Pric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histogram 2" cacheId="62" applyNumberFormats="0" applyBorderFormats="0" applyFontFormats="0" applyPatternFormats="0" applyAlignmentFormats="0" applyWidthHeightFormats="0" dataCaption="" updatedVersion="8" compact="0" compactData="0">
  <location ref="N1:P10" firstHeaderRow="1" firstDataRow="2" firstDataCol="1"/>
  <pivotFields count="1">
    <pivotField name="Price" axis="axisRow" dataField="1" compact="0" outline="0" multipleItemSelectionAllowed="1" showAll="0" sortType="ascending">
      <items count="9">
        <item x="0"/>
        <item x="7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A of Price" fld="0" subtotal="count" baseField="0"/>
    <dataField name="COUNTA of Price" fld="0" subtotal="count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Sheet6" cacheId="58" applyNumberFormats="0" applyBorderFormats="0" applyFontFormats="0" applyPatternFormats="0" applyAlignmentFormats="0" applyWidthHeightFormats="0" dataCaption="" updatedVersion="8" compact="0" compactData="0">
  <location ref="C1:E13" firstHeaderRow="1" firstDataRow="2" firstDataCol="1"/>
  <pivotFields count="1">
    <pivotField name="Unposted Final Score" axis="axisRow" dataField="1" compact="0" outline="0" multipleItemSelectionAllowed="1" showAll="0" sortType="ascending">
      <items count="13">
        <item x="0"/>
        <item x="11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A of Unposted Final Score" fld="0" subtotal="count" baseField="0"/>
    <dataField name="COUNTA of Unposted Final Score" fld="0" subtotal="count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Sheet6 2" cacheId="54" applyNumberFormats="0" applyBorderFormats="0" applyFontFormats="0" applyPatternFormats="0" applyAlignmentFormats="0" applyWidthHeightFormats="0" dataCaption="" updatedVersion="8" compact="0" compactData="0">
  <location ref="G2:H13" firstHeaderRow="1" firstDataRow="1" firstDataCol="1"/>
  <pivotFields count="1">
    <pivotField name="Unposted Final Score" axis="axisRow" dataField="1" compact="0" outline="0" multipleItemSelectionAllowed="1" showAll="0" sortType="ascending">
      <items count="13">
        <item x="0"/>
        <item x="11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0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Items count="1">
    <i/>
  </colItems>
  <dataFields count="1">
    <dataField name="COUNTA of Unposted Final Score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2. Bins" cacheId="50" applyNumberFormats="0" applyBorderFormats="0" applyFontFormats="0" applyPatternFormats="0" applyAlignmentFormats="0" applyWidthHeightFormats="0" dataCaption="" updatedVersion="8" compact="0" compactData="0">
  <location ref="E1:F8" firstHeaderRow="1" firstDataRow="1" firstDataCol="1"/>
  <pivotFields count="1">
    <pivotField name="TABLE 2.4  waiting time in minutes" axis="axisRow" dataField="1" compact="0" outline="0" multipleItemSelectionAllowed="1" showAll="0" sortType="ascending">
      <items count="10">
        <item x="0"/>
        <item x="8"/>
        <item x="2"/>
        <item x="3"/>
        <item x="4"/>
        <item x="5"/>
        <item x="6"/>
        <item x="7"/>
        <item x="1"/>
        <item t="default"/>
      </items>
    </pivotField>
  </pivotFields>
  <rowFields count="1">
    <field x="0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A of TABLE 2.4  waiting time in minute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5000000}" name="4. Bins" cacheId="46" applyNumberFormats="0" applyBorderFormats="0" applyFontFormats="0" applyPatternFormats="0" applyAlignmentFormats="0" applyWidthHeightFormats="0" dataCaption="" updatedVersion="8" compact="0" compactData="0">
  <location ref="D2:E8" firstHeaderRow="1" firstDataRow="1" firstDataCol="1"/>
  <pivotFields count="2">
    <pivotField name="Miles per gallon" axis="axisRow" dataField="1" compact="0" outline="0" multipleItemSelectionAllowed="1" showAll="0" sortType="ascending">
      <items count="8">
        <item x="0"/>
        <item x="6"/>
        <item x="3"/>
        <item x="4"/>
        <item x="5"/>
        <item x="1"/>
        <item x="2"/>
        <item t="default"/>
      </items>
    </pivotField>
    <pivotField name="Decile" compact="0" outline="0" multipleItemSelectionAllowed="1" showAll="0"/>
  </pivotFields>
  <rowFields count="1">
    <field x="0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A of Miles per gallon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questions" cacheId="42" applyNumberFormats="0" applyBorderFormats="0" applyFontFormats="0" applyPatternFormats="0" applyAlignmentFormats="0" applyWidthHeightFormats="0" dataCaption="" updatedVersion="8" compact="0" compactData="0">
  <location ref="F1:G7" firstHeaderRow="1" firstDataRow="1" firstDataCol="1"/>
  <pivotFields count="1">
    <pivotField name="TABLE 2.4  waiting time in minutes" axis="axisRow" dataField="1" compact="0" numFmtId="4" outline="0" multipleItemSelectionAllowed="1" showAll="0" sortType="ascending">
      <items count="10">
        <item x="0"/>
        <item x="8"/>
        <item x="1"/>
        <item x="3"/>
        <item x="4"/>
        <item x="5"/>
        <item x="6"/>
        <item x="7"/>
        <item x="2"/>
        <item t="default"/>
      </items>
    </pivotField>
  </pivotFields>
  <rowFields count="1">
    <field x="0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ABLE 2.4  waiting time in minutes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9000000}" name="5. contingency 3" cacheId="28" applyNumberFormats="0" applyBorderFormats="0" applyFontFormats="0" applyPatternFormats="0" applyAlignmentFormats="0" applyWidthHeightFormats="0" dataCaption="" updatedVersion="8" compact="0" compactData="0">
  <location ref="R1:S7" firstHeaderRow="1" firstDataRow="1" firstDataCol="1"/>
  <pivotFields count="1">
    <pivotField name="Quality Rating" axis="axisRow" dataField="1" compact="0" outline="0" multipleItemSelectionAllowed="1" showAll="0" sortType="ascending">
      <items count="7">
        <item x="2"/>
        <item x="1"/>
        <item x="3"/>
        <item x="0"/>
        <item x="4"/>
        <item h="1"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A of Quality Rating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8000000}" name="5. contingency" cacheId="38" applyNumberFormats="0" applyBorderFormats="0" applyFontFormats="0" applyPatternFormats="0" applyAlignmentFormats="0" applyWidthHeightFormats="0" dataCaption="" updatedVersion="8" compact="0" compactData="0">
  <location ref="E1:J8" firstHeaderRow="1" firstDataRow="2" firstDataCol="1"/>
  <pivotFields count="3">
    <pivotField name="Restaurant" compact="0" outline="0" multipleItemSelectionAllowed="1" showAll="0"/>
    <pivotField name="Quality Rating" axis="axisRow" dataField="1" compact="0" outline="0" multipleItemSelectionAllowed="1" showAll="0" sortType="ascending">
      <items count="7">
        <item x="2"/>
        <item x="1"/>
        <item x="3"/>
        <item x="0"/>
        <item x="4"/>
        <item h="1" x="5"/>
        <item t="default"/>
      </items>
    </pivotField>
    <pivotField name="Meal Price (KZT)" axis="axisCol" compact="0" numFmtId="4" outline="0" multipleItemSelectionAllowed="1" showAll="0" sortType="ascending">
      <items count="7">
        <item x="0"/>
        <item x="5"/>
        <item x="1"/>
        <item x="3"/>
        <item x="4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 v="2"/>
    </i>
    <i>
      <x v="3"/>
    </i>
    <i>
      <x v="4"/>
    </i>
    <i>
      <x v="5"/>
    </i>
    <i t="grand">
      <x/>
    </i>
  </colItems>
  <dataFields count="1">
    <dataField name="COUNTA of Quality Rating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7000000}" name="5. contingency 2" cacheId="33" applyNumberFormats="0" applyBorderFormats="0" applyFontFormats="0" applyPatternFormats="0" applyAlignmentFormats="0" applyWidthHeightFormats="0" dataCaption="" updatedVersion="8" compact="0" compactData="0">
  <location ref="L3:M9" firstHeaderRow="1" firstDataRow="1" firstDataCol="1" rowPageCount="1" colPageCount="1"/>
  <pivotFields count="3">
    <pivotField name="Restaurant" compact="0" outline="0" multipleItemSelectionAllowed="1" showAll="0"/>
    <pivotField name="Quality Rating" axis="axisRow" compact="0" outline="0" multipleItemSelectionAllowed="1" showAll="0" sortType="ascending">
      <items count="7">
        <item x="2"/>
        <item x="1"/>
        <item x="3"/>
        <item x="0"/>
        <item x="4"/>
        <item x="5"/>
        <item t="default"/>
      </items>
    </pivotField>
    <pivotField name="Meal Price (KZT)" axis="axisPage" dataField="1" compact="0" numFmtId="4" outline="0" multipleItemSelectionAllowed="1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h="1" x="65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0"/>
  </pageFields>
  <dataFields count="1">
    <dataField name="AVERAGE of Meal Price (KZT)" fld="2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A000000}" name="Polygon" cacheId="24" applyNumberFormats="0" applyBorderFormats="0" applyFontFormats="0" applyPatternFormats="0" applyAlignmentFormats="0" applyWidthHeightFormats="0" dataCaption="" updatedVersion="8" compact="0" compactData="0">
  <location ref="D2:E10" firstHeaderRow="1" firstDataRow="1" firstDataCol="1"/>
  <pivotFields count="1">
    <pivotField name="Price" axis="axisRow" dataField="1" compact="0" outline="0" multipleItemSelectionAllowed="1" showAll="0" sortType="ascending">
      <items count="10">
        <item x="0"/>
        <item x="8"/>
        <item x="1"/>
        <item x="2"/>
        <item x="3"/>
        <item x="4"/>
        <item x="5"/>
        <item x="6"/>
        <item x="7"/>
        <item t="default"/>
      </items>
    </pivotField>
  </pivotFields>
  <rowFields count="1">
    <field x="0"/>
  </rowFields>
  <rowItems count="8">
    <i>
      <x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ice" fld="0" subtotal="countNums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C000000}" name="Ogive" cacheId="20" applyNumberFormats="0" applyBorderFormats="0" applyFontFormats="0" applyPatternFormats="0" applyAlignmentFormats="0" applyWidthHeightFormats="0" dataCaption="" updatedVersion="8" compact="0" compactData="0">
  <location ref="D2:E11" firstHeaderRow="1" firstDataRow="1" firstDataCol="1"/>
  <pivotFields count="2">
    <pivotField name="Upper limit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Frequency, Cumulative" dataField="1" compact="0" outline="0" multipleItemSelectionAllowe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Frequency, Cumulative" fld="1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B000000}" name="Ogive 2" cacheId="16" applyNumberFormats="0" applyBorderFormats="0" applyFontFormats="0" applyPatternFormats="0" applyAlignmentFormats="0" applyWidthHeightFormats="0" dataCaption="" updatedVersion="8" compact="0" compactData="0">
  <location ref="H2:I9" firstHeaderRow="1" firstDataRow="1" firstDataCol="1"/>
  <pivotFields count="2">
    <pivotField name="Grouped 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COUNT of " dataField="1" compact="0" numFmtId="4" outline="0" multipleItemSelectionAllowe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UNT of 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4"/>
  <sheetViews>
    <sheetView tabSelected="1" workbookViewId="0"/>
  </sheetViews>
  <sheetFormatPr defaultColWidth="12.6640625" defaultRowHeight="15.75" customHeight="1"/>
  <sheetData>
    <row r="1" spans="1:14">
      <c r="A1" s="1"/>
      <c r="B1" s="1"/>
      <c r="C1" s="1"/>
      <c r="D1" s="1"/>
      <c r="E1" s="1"/>
      <c r="F1" s="2" t="s">
        <v>0</v>
      </c>
      <c r="G1" s="3"/>
      <c r="H1" s="3"/>
      <c r="I1" s="1"/>
      <c r="J1" s="1"/>
      <c r="K1" s="1"/>
      <c r="L1" s="1"/>
      <c r="M1" s="1"/>
      <c r="N1" s="1"/>
    </row>
    <row r="2" spans="1:14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2</v>
      </c>
      <c r="G2" s="6" t="s">
        <v>3</v>
      </c>
      <c r="H2" s="6" t="s">
        <v>4</v>
      </c>
      <c r="I2" s="6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</row>
    <row r="3" spans="1:14" ht="15.75" customHeight="1">
      <c r="A3" s="8">
        <v>1</v>
      </c>
      <c r="B3" s="9">
        <v>3180</v>
      </c>
      <c r="C3" s="9">
        <v>17503</v>
      </c>
      <c r="D3" s="9">
        <v>128952505</v>
      </c>
      <c r="E3" s="9">
        <v>62160175</v>
      </c>
      <c r="F3" s="10">
        <f t="shared" ref="F3:I3" si="0">B3/B$13</f>
        <v>0.10000943485234456</v>
      </c>
      <c r="G3" s="11">
        <f t="shared" si="0"/>
        <v>0.28571661769507017</v>
      </c>
      <c r="H3" s="11">
        <f t="shared" si="0"/>
        <v>0.39604497423316032</v>
      </c>
      <c r="I3" s="11">
        <f t="shared" si="0"/>
        <v>0.39842145172997651</v>
      </c>
      <c r="J3" s="12">
        <f t="shared" ref="J3:J12" si="1">D3/B3</f>
        <v>40551.102201257861</v>
      </c>
      <c r="K3" s="12">
        <f>E3/B3</f>
        <v>19547.224842767297</v>
      </c>
      <c r="L3" s="13">
        <f t="shared" ref="L3:L4" si="2">C3/B3</f>
        <v>5.5040880503144658</v>
      </c>
      <c r="M3" s="14">
        <v>7367.4515797291897</v>
      </c>
      <c r="N3" s="10">
        <v>0.48203929811212276</v>
      </c>
    </row>
    <row r="4" spans="1:14" ht="15.75" customHeight="1">
      <c r="A4" s="15">
        <v>2</v>
      </c>
      <c r="B4" s="16">
        <v>3180</v>
      </c>
      <c r="C4" s="16">
        <v>8703</v>
      </c>
      <c r="D4" s="16">
        <v>55542905</v>
      </c>
      <c r="E4" s="16">
        <v>27079030</v>
      </c>
      <c r="F4" s="10">
        <f t="shared" ref="F4:I4" si="3">B4/B$13</f>
        <v>0.10000943485234456</v>
      </c>
      <c r="G4" s="11">
        <f t="shared" si="3"/>
        <v>0.14206660137120469</v>
      </c>
      <c r="H4" s="11">
        <f t="shared" si="3"/>
        <v>0.17058597178519233</v>
      </c>
      <c r="I4" s="11">
        <f t="shared" si="3"/>
        <v>0.17356557384273108</v>
      </c>
      <c r="J4" s="12">
        <f t="shared" si="1"/>
        <v>17466.322327044025</v>
      </c>
      <c r="K4" s="12">
        <v>8515.4182389937105</v>
      </c>
      <c r="L4" s="13">
        <f t="shared" si="2"/>
        <v>2.7367924528301888</v>
      </c>
      <c r="M4" s="14">
        <v>6382.0412501436285</v>
      </c>
      <c r="N4" s="10">
        <v>0.48753355626609735</v>
      </c>
    </row>
    <row r="5" spans="1:14" ht="15.75" customHeight="1">
      <c r="A5" s="8">
        <v>3</v>
      </c>
      <c r="B5" s="9">
        <v>3177</v>
      </c>
      <c r="C5" s="9">
        <v>6345</v>
      </c>
      <c r="D5" s="9">
        <v>38274225</v>
      </c>
      <c r="E5" s="9">
        <v>18722055</v>
      </c>
      <c r="F5" s="10">
        <f t="shared" ref="F5:I5" si="4">B5/B$13</f>
        <v>9.991508632889895E-2</v>
      </c>
      <c r="G5" s="11">
        <f t="shared" si="4"/>
        <v>0.10357492654260529</v>
      </c>
      <c r="H5" s="11">
        <f t="shared" si="4"/>
        <v>0.11754959280487945</v>
      </c>
      <c r="I5" s="11">
        <f t="shared" si="4"/>
        <v>0.12000076145970415</v>
      </c>
      <c r="J5" s="12">
        <f t="shared" si="1"/>
        <v>12047.285174693106</v>
      </c>
      <c r="K5" s="12">
        <v>5892.9981114258735</v>
      </c>
      <c r="L5" s="13">
        <v>1.9971671388101984</v>
      </c>
      <c r="M5" s="14">
        <v>6032.1867612293145</v>
      </c>
      <c r="N5" s="10">
        <v>0.48915569159140387</v>
      </c>
    </row>
    <row r="6" spans="1:14" ht="15.75" customHeight="1">
      <c r="A6" s="8">
        <v>4</v>
      </c>
      <c r="B6" s="9">
        <v>3178</v>
      </c>
      <c r="C6" s="9">
        <v>5349</v>
      </c>
      <c r="D6" s="9">
        <v>29017010</v>
      </c>
      <c r="E6" s="9">
        <v>13916595</v>
      </c>
      <c r="F6" s="10">
        <f t="shared" ref="F6:I6" si="5">B6/B$13</f>
        <v>9.9946535836714159E-2</v>
      </c>
      <c r="G6" s="11">
        <f t="shared" si="5"/>
        <v>8.7316356513222337E-2</v>
      </c>
      <c r="H6" s="11">
        <f t="shared" si="5"/>
        <v>8.9118400435674788E-2</v>
      </c>
      <c r="I6" s="11">
        <f t="shared" si="5"/>
        <v>8.9199716426765732E-2</v>
      </c>
      <c r="J6" s="12">
        <f t="shared" si="1"/>
        <v>9130.5884203901824</v>
      </c>
      <c r="K6" s="12">
        <v>4379.0418502202647</v>
      </c>
      <c r="L6" s="13">
        <v>1.6831340465701699</v>
      </c>
      <c r="M6" s="14">
        <v>5424.7541596560104</v>
      </c>
      <c r="N6" s="10">
        <v>0.47960127525199875</v>
      </c>
    </row>
    <row r="7" spans="1:14" ht="15.75" customHeight="1">
      <c r="A7" s="8">
        <v>5</v>
      </c>
      <c r="B7" s="9">
        <v>3183</v>
      </c>
      <c r="C7" s="9">
        <v>4683</v>
      </c>
      <c r="D7" s="9">
        <v>22555225</v>
      </c>
      <c r="E7" s="9">
        <v>10734405</v>
      </c>
      <c r="F7" s="10">
        <f t="shared" ref="F7:I7" si="6">B7/B$13</f>
        <v>0.10010378337579016</v>
      </c>
      <c r="G7" s="11">
        <f t="shared" si="6"/>
        <v>7.6444662095984328E-2</v>
      </c>
      <c r="H7" s="11">
        <f t="shared" si="6"/>
        <v>6.9272663636492635E-2</v>
      </c>
      <c r="I7" s="11">
        <f t="shared" si="6"/>
        <v>6.880317218472308E-2</v>
      </c>
      <c r="J7" s="12">
        <f t="shared" si="1"/>
        <v>7086.1530003141688</v>
      </c>
      <c r="K7" s="12">
        <v>3372.4175306314796</v>
      </c>
      <c r="L7" s="13">
        <v>1.4712535344015081</v>
      </c>
      <c r="M7" s="14">
        <v>4816.4050822122572</v>
      </c>
      <c r="N7" s="10">
        <v>0.47591655591996979</v>
      </c>
    </row>
    <row r="8" spans="1:14" ht="15.75" customHeight="1">
      <c r="A8" s="8">
        <v>6</v>
      </c>
      <c r="B8" s="9">
        <v>3124</v>
      </c>
      <c r="C8" s="9">
        <v>4330</v>
      </c>
      <c r="D8" s="9">
        <v>17169955</v>
      </c>
      <c r="E8" s="9">
        <v>7948270</v>
      </c>
      <c r="F8" s="10">
        <f t="shared" ref="F8:I8" si="7">B8/B$13</f>
        <v>9.8248262414693213E-2</v>
      </c>
      <c r="G8" s="11">
        <f t="shared" si="7"/>
        <v>7.0682337577538362E-2</v>
      </c>
      <c r="H8" s="11">
        <f t="shared" si="7"/>
        <v>5.273317013546594E-2</v>
      </c>
      <c r="I8" s="11">
        <f t="shared" si="7"/>
        <v>5.0945179484160406E-2</v>
      </c>
      <c r="J8" s="12">
        <f t="shared" si="1"/>
        <v>5496.1443661971834</v>
      </c>
      <c r="K8" s="12">
        <v>2544.2605633802818</v>
      </c>
      <c r="L8" s="13">
        <v>1.3860435339308579</v>
      </c>
      <c r="M8" s="14">
        <v>3965.3475750577368</v>
      </c>
      <c r="N8" s="10">
        <v>0.46291734602682416</v>
      </c>
    </row>
    <row r="9" spans="1:14" ht="15.75" customHeight="1">
      <c r="A9" s="8">
        <v>7</v>
      </c>
      <c r="B9" s="9">
        <v>3233</v>
      </c>
      <c r="C9" s="9">
        <v>4004</v>
      </c>
      <c r="D9" s="9">
        <v>13470710</v>
      </c>
      <c r="E9" s="9">
        <v>6240025</v>
      </c>
      <c r="F9" s="10">
        <f t="shared" ref="F9:I9" si="8">B9/B$13</f>
        <v>0.1016762587665503</v>
      </c>
      <c r="G9" s="11">
        <f t="shared" si="8"/>
        <v>6.5360757427358793E-2</v>
      </c>
      <c r="H9" s="11">
        <f t="shared" si="8"/>
        <v>4.1371875597549464E-2</v>
      </c>
      <c r="I9" s="11">
        <f t="shared" si="8"/>
        <v>3.999602348821165E-2</v>
      </c>
      <c r="J9" s="12">
        <f t="shared" si="1"/>
        <v>4166.6285184039589</v>
      </c>
      <c r="K9" s="12">
        <v>1930.1036189297865</v>
      </c>
      <c r="L9" s="13">
        <v>1.238478193628209</v>
      </c>
      <c r="M9" s="14">
        <v>3364.3131868131868</v>
      </c>
      <c r="N9" s="10">
        <v>0.4632291096757335</v>
      </c>
    </row>
    <row r="10" spans="1:14" ht="15.75" customHeight="1">
      <c r="A10" s="8">
        <v>8</v>
      </c>
      <c r="B10" s="9">
        <v>2996</v>
      </c>
      <c r="C10" s="9">
        <v>3414</v>
      </c>
      <c r="D10" s="9">
        <v>9381075</v>
      </c>
      <c r="E10" s="9">
        <v>4326685</v>
      </c>
      <c r="F10" s="10">
        <f t="shared" ref="F10:I10" si="9">B10/B$13</f>
        <v>9.4222725414347272E-2</v>
      </c>
      <c r="G10" s="11">
        <f t="shared" si="9"/>
        <v>5.5729676787463274E-2</v>
      </c>
      <c r="H10" s="11">
        <f t="shared" si="9"/>
        <v>2.8811597003519589E-2</v>
      </c>
      <c r="I10" s="11">
        <f t="shared" si="9"/>
        <v>2.7732291919678694E-2</v>
      </c>
      <c r="J10" s="12">
        <f t="shared" si="1"/>
        <v>3131.1999332443256</v>
      </c>
      <c r="K10" s="12">
        <v>1444.1538718291056</v>
      </c>
      <c r="L10" s="13">
        <v>1.1395193591455273</v>
      </c>
      <c r="M10" s="14">
        <v>2747.8251318101934</v>
      </c>
      <c r="N10" s="10">
        <v>0.46121419986515405</v>
      </c>
    </row>
    <row r="11" spans="1:14" ht="15.75" customHeight="1">
      <c r="A11" s="8">
        <v>9</v>
      </c>
      <c r="B11" s="9">
        <v>3360</v>
      </c>
      <c r="C11" s="9">
        <v>3659</v>
      </c>
      <c r="D11" s="9">
        <v>7496500</v>
      </c>
      <c r="E11" s="9">
        <v>3334100</v>
      </c>
      <c r="F11" s="10">
        <f t="shared" ref="F11:I11" si="10">B11/B$13</f>
        <v>0.10567034625908105</v>
      </c>
      <c r="G11" s="11">
        <f t="shared" si="10"/>
        <v>5.972902383284362E-2</v>
      </c>
      <c r="H11" s="11">
        <f t="shared" si="10"/>
        <v>2.3023601979185179E-2</v>
      </c>
      <c r="I11" s="11">
        <f t="shared" si="10"/>
        <v>2.1370225585962632E-2</v>
      </c>
      <c r="J11" s="12">
        <f t="shared" si="1"/>
        <v>2231.1011904761904</v>
      </c>
      <c r="K11" s="12">
        <v>992.29166666666663</v>
      </c>
      <c r="L11" s="13">
        <v>1.0889880952380953</v>
      </c>
      <c r="M11" s="14">
        <v>2048.7838207160426</v>
      </c>
      <c r="N11" s="10">
        <v>0.44475421863536319</v>
      </c>
    </row>
    <row r="12" spans="1:14" ht="15.75" customHeight="1">
      <c r="A12" s="8">
        <v>10</v>
      </c>
      <c r="B12" s="9">
        <v>3186</v>
      </c>
      <c r="C12" s="9">
        <v>3270</v>
      </c>
      <c r="D12" s="9">
        <v>3740550</v>
      </c>
      <c r="E12" s="9">
        <v>1554795</v>
      </c>
      <c r="F12" s="10">
        <f t="shared" ref="F12:I12" si="11">B12/B$13</f>
        <v>0.10019813189923578</v>
      </c>
      <c r="G12" s="11">
        <f t="shared" si="11"/>
        <v>5.3379040156709107E-2</v>
      </c>
      <c r="H12" s="11">
        <f t="shared" si="11"/>
        <v>1.1488152388880292E-2</v>
      </c>
      <c r="I12" s="11">
        <f t="shared" si="11"/>
        <v>9.9656038780860708E-3</v>
      </c>
      <c r="J12" s="12">
        <f t="shared" si="1"/>
        <v>1174.0583804143125</v>
      </c>
      <c r="K12" s="12">
        <v>488.00847457627117</v>
      </c>
      <c r="L12" s="13">
        <v>1.0263653483992468</v>
      </c>
      <c r="M12" s="14">
        <v>1143.8990825688074</v>
      </c>
      <c r="N12" s="10">
        <v>0.4156594618438465</v>
      </c>
    </row>
    <row r="13" spans="1:14" ht="15.75" customHeight="1">
      <c r="A13" s="17" t="s">
        <v>11</v>
      </c>
      <c r="B13" s="18">
        <f t="shared" ref="B13:I13" si="12">SUM(B3:B12)</f>
        <v>31797</v>
      </c>
      <c r="C13" s="18">
        <f t="shared" si="12"/>
        <v>61260</v>
      </c>
      <c r="D13" s="18">
        <f t="shared" si="12"/>
        <v>325600660</v>
      </c>
      <c r="E13" s="18">
        <f t="shared" si="12"/>
        <v>156016135</v>
      </c>
      <c r="F13" s="11">
        <f t="shared" si="12"/>
        <v>1</v>
      </c>
      <c r="G13" s="11">
        <f t="shared" si="12"/>
        <v>1</v>
      </c>
      <c r="H13" s="11">
        <f t="shared" si="12"/>
        <v>1</v>
      </c>
      <c r="I13" s="11">
        <f t="shared" si="12"/>
        <v>1</v>
      </c>
      <c r="J13" s="19"/>
      <c r="K13" s="12">
        <v>4906.6306569802182</v>
      </c>
      <c r="L13" s="13">
        <v>1.926596848759317</v>
      </c>
      <c r="M13" s="14">
        <v>5315.0613777342478</v>
      </c>
      <c r="N13" s="10">
        <v>0.47916406250527871</v>
      </c>
    </row>
    <row r="14" spans="1:14" ht="15.75" customHeight="1">
      <c r="A14" s="20"/>
      <c r="B14" s="21"/>
      <c r="C14" s="21"/>
      <c r="D14" s="21"/>
      <c r="E14" s="21"/>
      <c r="F14" s="2"/>
      <c r="G14" s="3"/>
      <c r="H14" s="3"/>
      <c r="I14" s="1"/>
      <c r="J14" s="1"/>
      <c r="K14" s="1"/>
      <c r="L14" s="1"/>
      <c r="M14" s="1"/>
      <c r="N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O17"/>
  <sheetViews>
    <sheetView workbookViewId="0"/>
  </sheetViews>
  <sheetFormatPr defaultColWidth="12.6640625" defaultRowHeight="15.75" customHeight="1"/>
  <sheetData>
    <row r="2" spans="1:1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5" ht="15.75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22" t="s">
        <v>1</v>
      </c>
      <c r="G3" s="22" t="s">
        <v>12</v>
      </c>
      <c r="H3" s="22" t="s">
        <v>13</v>
      </c>
      <c r="I3" s="22" t="s">
        <v>14</v>
      </c>
      <c r="J3" s="22" t="s">
        <v>15</v>
      </c>
      <c r="K3" s="23" t="s">
        <v>16</v>
      </c>
      <c r="L3" s="23" t="s">
        <v>17</v>
      </c>
      <c r="M3" s="23" t="s">
        <v>18</v>
      </c>
      <c r="N3" s="23" t="s">
        <v>19</v>
      </c>
      <c r="O3" s="23" t="s">
        <v>20</v>
      </c>
    </row>
    <row r="4" spans="1:15" ht="15.75" customHeight="1">
      <c r="A4" s="15">
        <v>1</v>
      </c>
      <c r="B4" s="16">
        <v>3180</v>
      </c>
      <c r="C4" s="16">
        <v>17503</v>
      </c>
      <c r="D4" s="16">
        <v>128952505</v>
      </c>
      <c r="E4" s="16">
        <v>62160175</v>
      </c>
      <c r="F4" s="24">
        <v>1</v>
      </c>
      <c r="G4" s="25">
        <f t="shared" ref="G4:G13" si="0">B4/$B$14</f>
        <v>0.10000943485234456</v>
      </c>
      <c r="H4" s="25">
        <f t="shared" ref="H4:H12" si="1">C4/$C$14</f>
        <v>0.28571661769507017</v>
      </c>
      <c r="I4" s="25">
        <f t="shared" ref="I4:I12" si="2">D4/$D$14</f>
        <v>0.39604497423316032</v>
      </c>
      <c r="J4" s="25">
        <f t="shared" ref="J4:J13" si="3">E4/$E$14</f>
        <v>0.39842145172997651</v>
      </c>
      <c r="K4" s="26">
        <f t="shared" ref="K4:K14" si="4">D4/B4</f>
        <v>40551.102201257861</v>
      </c>
      <c r="L4" s="26">
        <f t="shared" ref="L4:L14" si="5">E4/B4</f>
        <v>19547.224842767297</v>
      </c>
      <c r="M4" s="27">
        <f t="shared" ref="M4:O4" si="6">C4/B4</f>
        <v>5.5040880503144658</v>
      </c>
      <c r="N4" s="28">
        <f t="shared" si="6"/>
        <v>7367.4515797291897</v>
      </c>
      <c r="O4" s="29">
        <f t="shared" si="6"/>
        <v>0.48203929811212276</v>
      </c>
    </row>
    <row r="5" spans="1:15" ht="15.75" customHeight="1">
      <c r="A5" s="8">
        <v>2</v>
      </c>
      <c r="B5" s="9">
        <v>3180</v>
      </c>
      <c r="C5" s="9">
        <v>8703</v>
      </c>
      <c r="D5" s="9">
        <v>55542905</v>
      </c>
      <c r="E5" s="9">
        <v>27079030</v>
      </c>
      <c r="F5" s="22">
        <v>2</v>
      </c>
      <c r="G5" s="29">
        <f t="shared" si="0"/>
        <v>0.10000943485234456</v>
      </c>
      <c r="H5" s="29">
        <f t="shared" si="1"/>
        <v>0.14206660137120469</v>
      </c>
      <c r="I5" s="29">
        <f t="shared" si="2"/>
        <v>0.17058597178519233</v>
      </c>
      <c r="J5" s="29">
        <f t="shared" si="3"/>
        <v>0.17356557384273108</v>
      </c>
      <c r="K5" s="26">
        <f t="shared" si="4"/>
        <v>17466.322327044025</v>
      </c>
      <c r="L5" s="26">
        <f t="shared" si="5"/>
        <v>8515.4182389937105</v>
      </c>
      <c r="M5" s="27">
        <f t="shared" ref="M5:O5" si="7">C5/B5</f>
        <v>2.7367924528301888</v>
      </c>
      <c r="N5" s="28">
        <f t="shared" si="7"/>
        <v>6382.0412501436285</v>
      </c>
      <c r="O5" s="29">
        <f t="shared" si="7"/>
        <v>0.48753355626609735</v>
      </c>
    </row>
    <row r="6" spans="1:15" ht="15.75" customHeight="1">
      <c r="A6" s="8">
        <v>3</v>
      </c>
      <c r="B6" s="9">
        <v>3177</v>
      </c>
      <c r="C6" s="9">
        <v>6345</v>
      </c>
      <c r="D6" s="9">
        <v>38274225</v>
      </c>
      <c r="E6" s="9">
        <v>18722055</v>
      </c>
      <c r="F6" s="22">
        <v>3</v>
      </c>
      <c r="G6" s="29">
        <f t="shared" si="0"/>
        <v>9.991508632889895E-2</v>
      </c>
      <c r="H6" s="29">
        <f t="shared" si="1"/>
        <v>0.10357492654260529</v>
      </c>
      <c r="I6" s="29">
        <f t="shared" si="2"/>
        <v>0.11754959280487945</v>
      </c>
      <c r="J6" s="29">
        <f t="shared" si="3"/>
        <v>0.12000076145970415</v>
      </c>
      <c r="K6" s="26">
        <f t="shared" si="4"/>
        <v>12047.285174693106</v>
      </c>
      <c r="L6" s="26">
        <f t="shared" si="5"/>
        <v>5892.9981114258735</v>
      </c>
      <c r="M6" s="27">
        <f t="shared" ref="M6:O6" si="8">C6/B6</f>
        <v>1.9971671388101984</v>
      </c>
      <c r="N6" s="28">
        <f t="shared" si="8"/>
        <v>6032.1867612293145</v>
      </c>
      <c r="O6" s="29">
        <f t="shared" si="8"/>
        <v>0.48915569159140387</v>
      </c>
    </row>
    <row r="7" spans="1:15" ht="15.75" customHeight="1">
      <c r="A7" s="8">
        <v>4</v>
      </c>
      <c r="B7" s="9">
        <v>3178</v>
      </c>
      <c r="C7" s="9">
        <v>5349</v>
      </c>
      <c r="D7" s="9">
        <v>29017010</v>
      </c>
      <c r="E7" s="9">
        <v>13916595</v>
      </c>
      <c r="F7" s="22">
        <v>4</v>
      </c>
      <c r="G7" s="29">
        <f t="shared" si="0"/>
        <v>9.9946535836714159E-2</v>
      </c>
      <c r="H7" s="29">
        <f t="shared" si="1"/>
        <v>8.7316356513222337E-2</v>
      </c>
      <c r="I7" s="29">
        <f t="shared" si="2"/>
        <v>8.9118400435674788E-2</v>
      </c>
      <c r="J7" s="29">
        <f t="shared" si="3"/>
        <v>8.9199716426765732E-2</v>
      </c>
      <c r="K7" s="26">
        <f t="shared" si="4"/>
        <v>9130.5884203901824</v>
      </c>
      <c r="L7" s="26">
        <f t="shared" si="5"/>
        <v>4379.0418502202647</v>
      </c>
      <c r="M7" s="27">
        <f t="shared" ref="M7:O7" si="9">C7/B7</f>
        <v>1.6831340465701699</v>
      </c>
      <c r="N7" s="28">
        <f t="shared" si="9"/>
        <v>5424.7541596560104</v>
      </c>
      <c r="O7" s="29">
        <f t="shared" si="9"/>
        <v>0.47960127525199875</v>
      </c>
    </row>
    <row r="8" spans="1:15" ht="15.75" customHeight="1">
      <c r="A8" s="8">
        <v>5</v>
      </c>
      <c r="B8" s="9">
        <v>3183</v>
      </c>
      <c r="C8" s="9">
        <v>4683</v>
      </c>
      <c r="D8" s="9">
        <v>22555225</v>
      </c>
      <c r="E8" s="9">
        <v>10734405</v>
      </c>
      <c r="F8" s="22">
        <v>5</v>
      </c>
      <c r="G8" s="29">
        <f t="shared" si="0"/>
        <v>0.10010378337579016</v>
      </c>
      <c r="H8" s="29">
        <f t="shared" si="1"/>
        <v>7.6444662095984328E-2</v>
      </c>
      <c r="I8" s="29">
        <f t="shared" si="2"/>
        <v>6.9272663636492635E-2</v>
      </c>
      <c r="J8" s="29">
        <f t="shared" si="3"/>
        <v>6.880317218472308E-2</v>
      </c>
      <c r="K8" s="26">
        <f t="shared" si="4"/>
        <v>7086.1530003141688</v>
      </c>
      <c r="L8" s="26">
        <f t="shared" si="5"/>
        <v>3372.4175306314796</v>
      </c>
      <c r="M8" s="27">
        <f t="shared" ref="M8:O8" si="10">C8/B8</f>
        <v>1.4712535344015081</v>
      </c>
      <c r="N8" s="28">
        <f t="shared" si="10"/>
        <v>4816.4050822122572</v>
      </c>
      <c r="O8" s="29">
        <f t="shared" si="10"/>
        <v>0.47591655591996979</v>
      </c>
    </row>
    <row r="9" spans="1:15" ht="15.75" customHeight="1">
      <c r="A9" s="8">
        <v>6</v>
      </c>
      <c r="B9" s="9">
        <v>3124</v>
      </c>
      <c r="C9" s="9">
        <v>4330</v>
      </c>
      <c r="D9" s="9">
        <v>17169955</v>
      </c>
      <c r="E9" s="9">
        <v>7948270</v>
      </c>
      <c r="F9" s="22">
        <v>6</v>
      </c>
      <c r="G9" s="29">
        <f t="shared" si="0"/>
        <v>9.8248262414693213E-2</v>
      </c>
      <c r="H9" s="29">
        <f t="shared" si="1"/>
        <v>7.0682337577538362E-2</v>
      </c>
      <c r="I9" s="29">
        <f t="shared" si="2"/>
        <v>5.273317013546594E-2</v>
      </c>
      <c r="J9" s="29">
        <f t="shared" si="3"/>
        <v>5.0945179484160406E-2</v>
      </c>
      <c r="K9" s="26">
        <f t="shared" si="4"/>
        <v>5496.1443661971834</v>
      </c>
      <c r="L9" s="26">
        <f t="shared" si="5"/>
        <v>2544.2605633802818</v>
      </c>
      <c r="M9" s="27">
        <f t="shared" ref="M9:O9" si="11">C9/B9</f>
        <v>1.3860435339308579</v>
      </c>
      <c r="N9" s="28">
        <f t="shared" si="11"/>
        <v>3965.3475750577368</v>
      </c>
      <c r="O9" s="29">
        <f t="shared" si="11"/>
        <v>0.46291734602682416</v>
      </c>
    </row>
    <row r="10" spans="1:15" ht="15.75" customHeight="1">
      <c r="A10" s="8">
        <v>7</v>
      </c>
      <c r="B10" s="9">
        <v>3233</v>
      </c>
      <c r="C10" s="9">
        <v>4004</v>
      </c>
      <c r="D10" s="9">
        <v>13470710</v>
      </c>
      <c r="E10" s="9">
        <v>6240025</v>
      </c>
      <c r="F10" s="22">
        <v>7</v>
      </c>
      <c r="G10" s="29">
        <f t="shared" si="0"/>
        <v>0.1016762587665503</v>
      </c>
      <c r="H10" s="29">
        <f t="shared" si="1"/>
        <v>6.5360757427358793E-2</v>
      </c>
      <c r="I10" s="29">
        <f t="shared" si="2"/>
        <v>4.1371875597549464E-2</v>
      </c>
      <c r="J10" s="29">
        <f t="shared" si="3"/>
        <v>3.999602348821165E-2</v>
      </c>
      <c r="K10" s="26">
        <f t="shared" si="4"/>
        <v>4166.6285184039589</v>
      </c>
      <c r="L10" s="26">
        <f t="shared" si="5"/>
        <v>1930.1036189297865</v>
      </c>
      <c r="M10" s="27">
        <f t="shared" ref="M10:O10" si="12">C10/B10</f>
        <v>1.238478193628209</v>
      </c>
      <c r="N10" s="28">
        <f t="shared" si="12"/>
        <v>3364.3131868131868</v>
      </c>
      <c r="O10" s="29">
        <f t="shared" si="12"/>
        <v>0.4632291096757335</v>
      </c>
    </row>
    <row r="11" spans="1:15" ht="15.75" customHeight="1">
      <c r="A11" s="8">
        <v>8</v>
      </c>
      <c r="B11" s="9">
        <v>2996</v>
      </c>
      <c r="C11" s="9">
        <v>3414</v>
      </c>
      <c r="D11" s="9">
        <v>9381075</v>
      </c>
      <c r="E11" s="9">
        <v>4326685</v>
      </c>
      <c r="F11" s="22">
        <v>8</v>
      </c>
      <c r="G11" s="29">
        <f t="shared" si="0"/>
        <v>9.4222725414347272E-2</v>
      </c>
      <c r="H11" s="29">
        <f t="shared" si="1"/>
        <v>5.5729676787463274E-2</v>
      </c>
      <c r="I11" s="29">
        <f t="shared" si="2"/>
        <v>2.8811597003519589E-2</v>
      </c>
      <c r="J11" s="29">
        <f t="shared" si="3"/>
        <v>2.7732291919678694E-2</v>
      </c>
      <c r="K11" s="26">
        <f t="shared" si="4"/>
        <v>3131.1999332443256</v>
      </c>
      <c r="L11" s="26">
        <f t="shared" si="5"/>
        <v>1444.1538718291056</v>
      </c>
      <c r="M11" s="27">
        <f t="shared" ref="M11:O11" si="13">C11/B11</f>
        <v>1.1395193591455273</v>
      </c>
      <c r="N11" s="28">
        <f t="shared" si="13"/>
        <v>2747.8251318101934</v>
      </c>
      <c r="O11" s="29">
        <f t="shared" si="13"/>
        <v>0.46121419986515405</v>
      </c>
    </row>
    <row r="12" spans="1:15" ht="15.75" customHeight="1">
      <c r="A12" s="8">
        <v>9</v>
      </c>
      <c r="B12" s="9">
        <v>3360</v>
      </c>
      <c r="C12" s="9">
        <v>3659</v>
      </c>
      <c r="D12" s="9">
        <v>7496500</v>
      </c>
      <c r="E12" s="9">
        <v>3334100</v>
      </c>
      <c r="F12" s="22">
        <v>9</v>
      </c>
      <c r="G12" s="29">
        <f t="shared" si="0"/>
        <v>0.10567034625908105</v>
      </c>
      <c r="H12" s="29">
        <f t="shared" si="1"/>
        <v>5.972902383284362E-2</v>
      </c>
      <c r="I12" s="29">
        <f t="shared" si="2"/>
        <v>2.3023601979185179E-2</v>
      </c>
      <c r="J12" s="29">
        <f t="shared" si="3"/>
        <v>2.1370225585962632E-2</v>
      </c>
      <c r="K12" s="26">
        <f t="shared" si="4"/>
        <v>2231.1011904761904</v>
      </c>
      <c r="L12" s="26">
        <f t="shared" si="5"/>
        <v>992.29166666666663</v>
      </c>
      <c r="M12" s="27">
        <f t="shared" ref="M12:O12" si="14">C12/B12</f>
        <v>1.0889880952380953</v>
      </c>
      <c r="N12" s="28">
        <f t="shared" si="14"/>
        <v>2048.7838207160426</v>
      </c>
      <c r="O12" s="29">
        <f t="shared" si="14"/>
        <v>0.44475421863536319</v>
      </c>
    </row>
    <row r="13" spans="1:15" ht="15.75" customHeight="1">
      <c r="A13" s="30">
        <v>10</v>
      </c>
      <c r="B13" s="31">
        <v>3186</v>
      </c>
      <c r="C13" s="31">
        <v>3270</v>
      </c>
      <c r="D13" s="31">
        <v>3740550</v>
      </c>
      <c r="E13" s="31">
        <v>1554795</v>
      </c>
      <c r="F13" s="32">
        <v>10</v>
      </c>
      <c r="G13" s="33">
        <f t="shared" si="0"/>
        <v>0.10019813189923578</v>
      </c>
      <c r="H13" s="33">
        <f t="shared" ref="H13:I13" si="15">C13/$D$14</f>
        <v>1.0042977185611355E-5</v>
      </c>
      <c r="I13" s="33">
        <f t="shared" si="15"/>
        <v>1.1488152388880292E-2</v>
      </c>
      <c r="J13" s="33">
        <f t="shared" si="3"/>
        <v>9.9656038780860708E-3</v>
      </c>
      <c r="K13" s="34">
        <f t="shared" si="4"/>
        <v>1174.0583804143125</v>
      </c>
      <c r="L13" s="34">
        <f t="shared" si="5"/>
        <v>488.00847457627117</v>
      </c>
      <c r="M13" s="35">
        <f t="shared" ref="M13:O13" si="16">C13/B13</f>
        <v>1.0263653483992468</v>
      </c>
      <c r="N13" s="36">
        <f t="shared" si="16"/>
        <v>1143.8990825688074</v>
      </c>
      <c r="O13" s="33">
        <f t="shared" si="16"/>
        <v>0.4156594618438465</v>
      </c>
    </row>
    <row r="14" spans="1:15" ht="15.75" customHeight="1">
      <c r="A14" s="37"/>
      <c r="B14" s="9">
        <v>31797</v>
      </c>
      <c r="C14" s="9">
        <v>61260</v>
      </c>
      <c r="D14" s="9">
        <v>325600660</v>
      </c>
      <c r="E14" s="9">
        <v>156016135</v>
      </c>
      <c r="F14" s="1"/>
      <c r="G14" s="1"/>
      <c r="H14" s="1"/>
      <c r="I14" s="1"/>
      <c r="J14" s="1"/>
      <c r="K14" s="26">
        <f t="shared" si="4"/>
        <v>10239.980501305154</v>
      </c>
      <c r="L14" s="26">
        <f t="shared" si="5"/>
        <v>4906.6306569802182</v>
      </c>
      <c r="M14" s="27">
        <f t="shared" ref="M14:O14" si="17">C14/B14</f>
        <v>1.926596848759317</v>
      </c>
      <c r="N14" s="28">
        <f t="shared" si="17"/>
        <v>5315.0613777342478</v>
      </c>
      <c r="O14" s="29">
        <f t="shared" si="17"/>
        <v>0.47916406250527871</v>
      </c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9"/>
  <sheetViews>
    <sheetView workbookViewId="0"/>
  </sheetViews>
  <sheetFormatPr defaultColWidth="12.6640625" defaultRowHeight="15.75" customHeight="1"/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 ht="15.75" customHeight="1">
      <c r="A3" s="38" t="s">
        <v>21</v>
      </c>
      <c r="B3" s="38" t="s">
        <v>2</v>
      </c>
      <c r="C3" s="38" t="s">
        <v>3</v>
      </c>
      <c r="D3" s="38" t="s">
        <v>4</v>
      </c>
      <c r="E3" s="38" t="s">
        <v>5</v>
      </c>
      <c r="F3" s="1"/>
    </row>
    <row r="4" spans="1:6" ht="15.75" customHeight="1">
      <c r="A4" s="15" t="s">
        <v>22</v>
      </c>
      <c r="B4" s="16">
        <v>2943</v>
      </c>
      <c r="C4" s="16">
        <v>3683</v>
      </c>
      <c r="D4" s="16">
        <v>21803980</v>
      </c>
      <c r="E4" s="16">
        <v>10398135</v>
      </c>
      <c r="F4" s="11">
        <f t="shared" ref="F4:F19" si="0">B4/$B$4</f>
        <v>1</v>
      </c>
    </row>
    <row r="5" spans="1:6" ht="15.75" customHeight="1">
      <c r="A5" s="8" t="s">
        <v>23</v>
      </c>
      <c r="B5" s="9">
        <v>346</v>
      </c>
      <c r="C5" s="9">
        <v>513</v>
      </c>
      <c r="D5" s="9">
        <v>2765015</v>
      </c>
      <c r="E5" s="9">
        <v>1386330</v>
      </c>
      <c r="F5" s="11">
        <f t="shared" si="0"/>
        <v>0.11756710839279647</v>
      </c>
    </row>
    <row r="6" spans="1:6" ht="15.75" customHeight="1">
      <c r="A6" s="8" t="s">
        <v>24</v>
      </c>
      <c r="B6" s="9">
        <v>313</v>
      </c>
      <c r="C6" s="9">
        <v>451</v>
      </c>
      <c r="D6" s="9">
        <v>2352130</v>
      </c>
      <c r="E6" s="9">
        <v>1173700</v>
      </c>
      <c r="F6" s="11">
        <f t="shared" si="0"/>
        <v>0.10635406048250085</v>
      </c>
    </row>
    <row r="7" spans="1:6" ht="15.75" customHeight="1">
      <c r="A7" s="8" t="s">
        <v>25</v>
      </c>
      <c r="B7" s="9">
        <v>485</v>
      </c>
      <c r="C7" s="9">
        <v>819</v>
      </c>
      <c r="D7" s="9">
        <v>4692930</v>
      </c>
      <c r="E7" s="9">
        <v>2335300</v>
      </c>
      <c r="F7" s="11">
        <f t="shared" si="0"/>
        <v>0.16479782534828408</v>
      </c>
    </row>
    <row r="8" spans="1:6" ht="15.75" customHeight="1">
      <c r="A8" s="8" t="s">
        <v>26</v>
      </c>
      <c r="B8" s="9">
        <v>296</v>
      </c>
      <c r="C8" s="9">
        <v>435</v>
      </c>
      <c r="D8" s="9">
        <v>2411530</v>
      </c>
      <c r="E8" s="9">
        <v>1161600</v>
      </c>
      <c r="F8" s="11">
        <f t="shared" si="0"/>
        <v>0.10057764186204553</v>
      </c>
    </row>
    <row r="9" spans="1:6" ht="15.75" customHeight="1">
      <c r="A9" s="8" t="s">
        <v>27</v>
      </c>
      <c r="B9" s="9">
        <v>286</v>
      </c>
      <c r="C9" s="9">
        <v>453</v>
      </c>
      <c r="D9" s="9">
        <v>2186470</v>
      </c>
      <c r="E9" s="9">
        <v>1074425</v>
      </c>
      <c r="F9" s="11">
        <f t="shared" si="0"/>
        <v>9.717974855589534E-2</v>
      </c>
    </row>
    <row r="10" spans="1:6" ht="15.75" customHeight="1">
      <c r="A10" s="8" t="s">
        <v>28</v>
      </c>
      <c r="B10" s="9">
        <v>245</v>
      </c>
      <c r="C10" s="9">
        <v>396</v>
      </c>
      <c r="D10" s="9">
        <v>2040280</v>
      </c>
      <c r="E10" s="9">
        <v>988295</v>
      </c>
      <c r="F10" s="11">
        <f t="shared" si="0"/>
        <v>8.3248386000679575E-2</v>
      </c>
    </row>
    <row r="11" spans="1:6" ht="15.75" customHeight="1">
      <c r="A11" s="8" t="s">
        <v>29</v>
      </c>
      <c r="B11" s="9">
        <v>420</v>
      </c>
      <c r="C11" s="9">
        <v>808</v>
      </c>
      <c r="D11" s="9">
        <v>4619175</v>
      </c>
      <c r="E11" s="9">
        <v>2215950</v>
      </c>
      <c r="F11" s="11">
        <f t="shared" si="0"/>
        <v>0.14271151885830785</v>
      </c>
    </row>
    <row r="12" spans="1:6" ht="15.75" customHeight="1">
      <c r="A12" s="8" t="s">
        <v>30</v>
      </c>
      <c r="B12" s="9">
        <v>312</v>
      </c>
      <c r="C12" s="9">
        <v>481</v>
      </c>
      <c r="D12" s="9">
        <v>2391565</v>
      </c>
      <c r="E12" s="9">
        <v>1101815</v>
      </c>
      <c r="F12" s="11">
        <f t="shared" si="0"/>
        <v>0.10601427115188583</v>
      </c>
    </row>
    <row r="13" spans="1:6" ht="15.75" customHeight="1">
      <c r="A13" s="8" t="s">
        <v>31</v>
      </c>
      <c r="B13" s="9">
        <v>281</v>
      </c>
      <c r="C13" s="9">
        <v>462</v>
      </c>
      <c r="D13" s="9">
        <v>2061895</v>
      </c>
      <c r="E13" s="9">
        <v>960080</v>
      </c>
      <c r="F13" s="11">
        <f t="shared" si="0"/>
        <v>9.5480801902820253E-2</v>
      </c>
    </row>
    <row r="14" spans="1:6" ht="15.75" customHeight="1">
      <c r="A14" s="8" t="s">
        <v>32</v>
      </c>
      <c r="B14" s="9">
        <v>220</v>
      </c>
      <c r="C14" s="9">
        <v>384</v>
      </c>
      <c r="D14" s="9">
        <v>1826220</v>
      </c>
      <c r="E14" s="9">
        <v>838310</v>
      </c>
      <c r="F14" s="11">
        <f t="shared" si="0"/>
        <v>7.4753652735304113E-2</v>
      </c>
    </row>
    <row r="15" spans="1:6" ht="15.75" customHeight="1">
      <c r="A15" s="8" t="s">
        <v>33</v>
      </c>
      <c r="B15" s="9">
        <v>358</v>
      </c>
      <c r="C15" s="9">
        <v>722</v>
      </c>
      <c r="D15" s="9">
        <v>3652880</v>
      </c>
      <c r="E15" s="9">
        <v>1726835</v>
      </c>
      <c r="F15" s="11">
        <f t="shared" si="0"/>
        <v>0.1216445803601767</v>
      </c>
    </row>
    <row r="16" spans="1:6" ht="15.75" customHeight="1">
      <c r="A16" s="8" t="s">
        <v>34</v>
      </c>
      <c r="B16" s="9">
        <v>244</v>
      </c>
      <c r="C16" s="9">
        <v>397</v>
      </c>
      <c r="D16" s="9">
        <v>1945185</v>
      </c>
      <c r="E16" s="9">
        <v>908215</v>
      </c>
      <c r="F16" s="11">
        <f t="shared" si="0"/>
        <v>8.290859667006456E-2</v>
      </c>
    </row>
    <row r="17" spans="1:6" ht="15.75" customHeight="1">
      <c r="A17" s="8" t="s">
        <v>35</v>
      </c>
      <c r="B17" s="9">
        <v>236</v>
      </c>
      <c r="C17" s="9">
        <v>390</v>
      </c>
      <c r="D17" s="9">
        <v>1882925</v>
      </c>
      <c r="E17" s="9">
        <v>884840</v>
      </c>
      <c r="F17" s="11">
        <f t="shared" si="0"/>
        <v>8.0190282025144416E-2</v>
      </c>
    </row>
    <row r="18" spans="1:6" ht="15.75" customHeight="1">
      <c r="A18" s="8" t="s">
        <v>36</v>
      </c>
      <c r="B18" s="9">
        <v>201</v>
      </c>
      <c r="C18" s="9">
        <v>338</v>
      </c>
      <c r="D18" s="9">
        <v>1504580</v>
      </c>
      <c r="E18" s="9">
        <v>703560</v>
      </c>
      <c r="F18" s="11">
        <f t="shared" si="0"/>
        <v>6.8297655453618752E-2</v>
      </c>
    </row>
    <row r="19" spans="1:6" ht="15.75" customHeight="1">
      <c r="A19" s="30" t="s">
        <v>37</v>
      </c>
      <c r="B19" s="31">
        <v>353</v>
      </c>
      <c r="C19" s="31">
        <v>657</v>
      </c>
      <c r="D19" s="31">
        <v>3447070</v>
      </c>
      <c r="E19" s="31">
        <v>1627065</v>
      </c>
      <c r="F19" s="11">
        <f t="shared" si="0"/>
        <v>0.1199456337071016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1"/>
  <sheetViews>
    <sheetView workbookViewId="0"/>
  </sheetViews>
  <sheetFormatPr defaultColWidth="12.6640625" defaultRowHeight="15.75" customHeight="1"/>
  <sheetData>
    <row r="1" spans="1:10">
      <c r="A1" s="1"/>
      <c r="B1" s="1"/>
      <c r="C1" s="1"/>
      <c r="D1" s="1"/>
      <c r="E1" s="1"/>
      <c r="F1" s="1"/>
      <c r="G1" s="1"/>
      <c r="H1" s="1"/>
      <c r="I1" s="1"/>
    </row>
    <row r="2" spans="1:10" ht="15.75" customHeight="1">
      <c r="A2" s="38" t="s">
        <v>21</v>
      </c>
      <c r="B2" s="38" t="s">
        <v>2</v>
      </c>
      <c r="C2" s="38" t="s">
        <v>3</v>
      </c>
      <c r="D2" s="38" t="s">
        <v>4</v>
      </c>
      <c r="E2" s="38" t="s">
        <v>5</v>
      </c>
      <c r="F2" s="39" t="s">
        <v>38</v>
      </c>
      <c r="G2" s="39" t="s">
        <v>39</v>
      </c>
      <c r="H2" s="39" t="s">
        <v>18</v>
      </c>
      <c r="I2" s="39" t="s">
        <v>19</v>
      </c>
      <c r="J2" s="39"/>
    </row>
    <row r="3" spans="1:10" ht="15.75" customHeight="1">
      <c r="A3" s="15" t="s">
        <v>22</v>
      </c>
      <c r="B3" s="16">
        <v>2943</v>
      </c>
      <c r="C3" s="16">
        <v>3683</v>
      </c>
      <c r="D3" s="16">
        <v>21803980</v>
      </c>
      <c r="E3" s="16">
        <v>10398135</v>
      </c>
      <c r="F3" s="25">
        <f t="shared" ref="F3:F18" si="0">B3/$B$4</f>
        <v>8.50578034682081</v>
      </c>
      <c r="G3" s="40">
        <f t="shared" ref="G3:G18" si="1">D3/B3</f>
        <v>7408.759768943255</v>
      </c>
      <c r="H3" s="41">
        <f t="shared" ref="H3:I3" si="2">C3/B3</f>
        <v>1.2514441046551139</v>
      </c>
      <c r="I3" s="40">
        <f t="shared" si="2"/>
        <v>5920.1683410263377</v>
      </c>
      <c r="J3" s="42"/>
    </row>
    <row r="4" spans="1:10" ht="15.75" customHeight="1">
      <c r="A4" s="8" t="s">
        <v>23</v>
      </c>
      <c r="B4" s="9">
        <v>346</v>
      </c>
      <c r="C4" s="9">
        <v>513</v>
      </c>
      <c r="D4" s="9">
        <v>2765015</v>
      </c>
      <c r="E4" s="9">
        <v>1386330</v>
      </c>
      <c r="F4" s="29">
        <f t="shared" si="0"/>
        <v>1</v>
      </c>
      <c r="G4" s="43">
        <f t="shared" si="1"/>
        <v>7991.3728323699424</v>
      </c>
      <c r="H4" s="27">
        <f t="shared" ref="H4:I4" si="3">C4/B4</f>
        <v>1.4826589595375723</v>
      </c>
      <c r="I4" s="43">
        <f t="shared" si="3"/>
        <v>5389.8927875243662</v>
      </c>
      <c r="J4" s="44"/>
    </row>
    <row r="5" spans="1:10" ht="15.75" customHeight="1">
      <c r="A5" s="8" t="s">
        <v>24</v>
      </c>
      <c r="B5" s="9">
        <v>313</v>
      </c>
      <c r="C5" s="9">
        <v>451</v>
      </c>
      <c r="D5" s="9">
        <v>2352130</v>
      </c>
      <c r="E5" s="9">
        <v>1173700</v>
      </c>
      <c r="F5" s="29">
        <f t="shared" si="0"/>
        <v>0.90462427745664742</v>
      </c>
      <c r="G5" s="43">
        <f t="shared" si="1"/>
        <v>7514.792332268371</v>
      </c>
      <c r="H5" s="27">
        <f t="shared" ref="H5:I5" si="4">C5/B5</f>
        <v>1.4408945686900958</v>
      </c>
      <c r="I5" s="43">
        <f t="shared" si="4"/>
        <v>5215.3658536585363</v>
      </c>
      <c r="J5" s="44"/>
    </row>
    <row r="6" spans="1:10" ht="15.75" customHeight="1">
      <c r="A6" s="8" t="s">
        <v>25</v>
      </c>
      <c r="B6" s="9">
        <v>485</v>
      </c>
      <c r="C6" s="9">
        <v>819</v>
      </c>
      <c r="D6" s="9">
        <v>4692930</v>
      </c>
      <c r="E6" s="9">
        <v>2335300</v>
      </c>
      <c r="F6" s="29">
        <f t="shared" si="0"/>
        <v>1.4017341040462428</v>
      </c>
      <c r="G6" s="43">
        <f t="shared" si="1"/>
        <v>9676.1443298969079</v>
      </c>
      <c r="H6" s="27">
        <f t="shared" ref="H6:I6" si="5">C6/B6</f>
        <v>1.688659793814433</v>
      </c>
      <c r="I6" s="43">
        <f t="shared" si="5"/>
        <v>5730.0732600732599</v>
      </c>
      <c r="J6" s="44"/>
    </row>
    <row r="7" spans="1:10" ht="15.75" customHeight="1">
      <c r="A7" s="8" t="s">
        <v>26</v>
      </c>
      <c r="B7" s="9">
        <v>296</v>
      </c>
      <c r="C7" s="9">
        <v>435</v>
      </c>
      <c r="D7" s="9">
        <v>2411530</v>
      </c>
      <c r="E7" s="9">
        <v>1161600</v>
      </c>
      <c r="F7" s="29">
        <f t="shared" si="0"/>
        <v>0.8554913294797688</v>
      </c>
      <c r="G7" s="43">
        <f t="shared" si="1"/>
        <v>8147.0608108108108</v>
      </c>
      <c r="H7" s="27">
        <f t="shared" ref="H7:I7" si="6">C7/B7</f>
        <v>1.4695945945945945</v>
      </c>
      <c r="I7" s="43">
        <f t="shared" si="6"/>
        <v>5543.7471264367814</v>
      </c>
      <c r="J7" s="44"/>
    </row>
    <row r="8" spans="1:10" ht="15.75" customHeight="1">
      <c r="A8" s="8" t="s">
        <v>27</v>
      </c>
      <c r="B8" s="9">
        <v>286</v>
      </c>
      <c r="C8" s="9">
        <v>453</v>
      </c>
      <c r="D8" s="9">
        <v>2186470</v>
      </c>
      <c r="E8" s="9">
        <v>1074425</v>
      </c>
      <c r="F8" s="29">
        <f t="shared" si="0"/>
        <v>0.82658959537572252</v>
      </c>
      <c r="G8" s="43">
        <f t="shared" si="1"/>
        <v>7645</v>
      </c>
      <c r="H8" s="27">
        <f t="shared" ref="H8:I8" si="7">C8/B8</f>
        <v>1.583916083916084</v>
      </c>
      <c r="I8" s="43">
        <f t="shared" si="7"/>
        <v>4826.644591611479</v>
      </c>
      <c r="J8" s="44"/>
    </row>
    <row r="9" spans="1:10" ht="15.75" customHeight="1">
      <c r="A9" s="8" t="s">
        <v>28</v>
      </c>
      <c r="B9" s="9">
        <v>245</v>
      </c>
      <c r="C9" s="9">
        <v>396</v>
      </c>
      <c r="D9" s="9">
        <v>2040280</v>
      </c>
      <c r="E9" s="9">
        <v>988295</v>
      </c>
      <c r="F9" s="29">
        <f t="shared" si="0"/>
        <v>0.70809248554913296</v>
      </c>
      <c r="G9" s="43">
        <f t="shared" si="1"/>
        <v>8327.6734693877552</v>
      </c>
      <c r="H9" s="27">
        <f t="shared" ref="H9:I9" si="8">C9/B9</f>
        <v>1.616326530612245</v>
      </c>
      <c r="I9" s="43">
        <f t="shared" si="8"/>
        <v>5152.2222222222226</v>
      </c>
      <c r="J9" s="44"/>
    </row>
    <row r="10" spans="1:10" ht="15.75" customHeight="1">
      <c r="A10" s="8" t="s">
        <v>29</v>
      </c>
      <c r="B10" s="9">
        <v>420</v>
      </c>
      <c r="C10" s="9">
        <v>808</v>
      </c>
      <c r="D10" s="9">
        <v>4619175</v>
      </c>
      <c r="E10" s="9">
        <v>2215950</v>
      </c>
      <c r="F10" s="29">
        <f t="shared" si="0"/>
        <v>1.2138728323699421</v>
      </c>
      <c r="G10" s="43">
        <f t="shared" si="1"/>
        <v>10998.035714285714</v>
      </c>
      <c r="H10" s="27">
        <f t="shared" ref="H10:I10" si="9">C10/B10</f>
        <v>1.9238095238095239</v>
      </c>
      <c r="I10" s="43">
        <f t="shared" si="9"/>
        <v>5716.8007425742571</v>
      </c>
      <c r="J10" s="44"/>
    </row>
    <row r="11" spans="1:10" ht="15.75" customHeight="1">
      <c r="A11" s="8" t="s">
        <v>30</v>
      </c>
      <c r="B11" s="9">
        <v>312</v>
      </c>
      <c r="C11" s="9">
        <v>481</v>
      </c>
      <c r="D11" s="9">
        <v>2391565</v>
      </c>
      <c r="E11" s="9">
        <v>1101815</v>
      </c>
      <c r="F11" s="29">
        <f t="shared" si="0"/>
        <v>0.90173410404624277</v>
      </c>
      <c r="G11" s="43">
        <f t="shared" si="1"/>
        <v>7665.2724358974356</v>
      </c>
      <c r="H11" s="27">
        <f t="shared" ref="H11:I11" si="10">C11/B11</f>
        <v>1.5416666666666667</v>
      </c>
      <c r="I11" s="43">
        <f t="shared" si="10"/>
        <v>4972.068607068607</v>
      </c>
      <c r="J11" s="44"/>
    </row>
    <row r="12" spans="1:10" ht="15.75" customHeight="1">
      <c r="A12" s="8" t="s">
        <v>31</v>
      </c>
      <c r="B12" s="9">
        <v>281</v>
      </c>
      <c r="C12" s="9">
        <v>462</v>
      </c>
      <c r="D12" s="9">
        <v>2061895</v>
      </c>
      <c r="E12" s="9">
        <v>960080</v>
      </c>
      <c r="F12" s="29">
        <f t="shared" si="0"/>
        <v>0.81213872832369938</v>
      </c>
      <c r="G12" s="43">
        <f t="shared" si="1"/>
        <v>7337.7046263345192</v>
      </c>
      <c r="H12" s="27">
        <f t="shared" ref="H12:I12" si="11">C12/B12</f>
        <v>1.6441281138790036</v>
      </c>
      <c r="I12" s="43">
        <f t="shared" si="11"/>
        <v>4462.9761904761908</v>
      </c>
      <c r="J12" s="44"/>
    </row>
    <row r="13" spans="1:10" ht="15.75" customHeight="1">
      <c r="A13" s="8" t="s">
        <v>32</v>
      </c>
      <c r="B13" s="9">
        <v>220</v>
      </c>
      <c r="C13" s="9">
        <v>384</v>
      </c>
      <c r="D13" s="9">
        <v>1826220</v>
      </c>
      <c r="E13" s="9">
        <v>838310</v>
      </c>
      <c r="F13" s="29">
        <f t="shared" si="0"/>
        <v>0.63583815028901736</v>
      </c>
      <c r="G13" s="43">
        <f t="shared" si="1"/>
        <v>8301</v>
      </c>
      <c r="H13" s="27">
        <f t="shared" ref="H13:I13" si="12">C13/B13</f>
        <v>1.7454545454545454</v>
      </c>
      <c r="I13" s="43">
        <f t="shared" si="12"/>
        <v>4755.78125</v>
      </c>
      <c r="J13" s="44"/>
    </row>
    <row r="14" spans="1:10" ht="15.75" customHeight="1">
      <c r="A14" s="8" t="s">
        <v>33</v>
      </c>
      <c r="B14" s="9">
        <v>358</v>
      </c>
      <c r="C14" s="9">
        <v>722</v>
      </c>
      <c r="D14" s="9">
        <v>3652880</v>
      </c>
      <c r="E14" s="9">
        <v>1726835</v>
      </c>
      <c r="F14" s="29">
        <f t="shared" si="0"/>
        <v>1.0346820809248556</v>
      </c>
      <c r="G14" s="43">
        <f t="shared" si="1"/>
        <v>10203.575418994413</v>
      </c>
      <c r="H14" s="27">
        <f t="shared" ref="H14:I14" si="13">C14/B14</f>
        <v>2.016759776536313</v>
      </c>
      <c r="I14" s="43">
        <f t="shared" si="13"/>
        <v>5059.3905817174518</v>
      </c>
      <c r="J14" s="44"/>
    </row>
    <row r="15" spans="1:10" ht="15.75" customHeight="1">
      <c r="A15" s="8" t="s">
        <v>34</v>
      </c>
      <c r="B15" s="9">
        <v>244</v>
      </c>
      <c r="C15" s="9">
        <v>397</v>
      </c>
      <c r="D15" s="9">
        <v>1945185</v>
      </c>
      <c r="E15" s="9">
        <v>908215</v>
      </c>
      <c r="F15" s="29">
        <f t="shared" si="0"/>
        <v>0.7052023121387283</v>
      </c>
      <c r="G15" s="43">
        <f t="shared" si="1"/>
        <v>7972.0696721311479</v>
      </c>
      <c r="H15" s="27">
        <f t="shared" ref="H15:I15" si="14">C15/B15</f>
        <v>1.6270491803278688</v>
      </c>
      <c r="I15" s="43">
        <f t="shared" si="14"/>
        <v>4899.7103274559195</v>
      </c>
      <c r="J15" s="44"/>
    </row>
    <row r="16" spans="1:10" ht="15.75" customHeight="1">
      <c r="A16" s="8" t="s">
        <v>35</v>
      </c>
      <c r="B16" s="9">
        <v>236</v>
      </c>
      <c r="C16" s="9">
        <v>390</v>
      </c>
      <c r="D16" s="9">
        <v>1882925</v>
      </c>
      <c r="E16" s="9">
        <v>884840</v>
      </c>
      <c r="F16" s="29">
        <f t="shared" si="0"/>
        <v>0.68208092485549132</v>
      </c>
      <c r="G16" s="43">
        <f t="shared" si="1"/>
        <v>7978.4957627118647</v>
      </c>
      <c r="H16" s="27">
        <f t="shared" ref="H16:I16" si="15">C16/B16</f>
        <v>1.652542372881356</v>
      </c>
      <c r="I16" s="43">
        <f t="shared" si="15"/>
        <v>4828.0128205128203</v>
      </c>
      <c r="J16" s="44"/>
    </row>
    <row r="17" spans="1:10" ht="15.75" customHeight="1">
      <c r="A17" s="8" t="s">
        <v>36</v>
      </c>
      <c r="B17" s="9">
        <v>201</v>
      </c>
      <c r="C17" s="9">
        <v>338</v>
      </c>
      <c r="D17" s="9">
        <v>1504580</v>
      </c>
      <c r="E17" s="9">
        <v>703560</v>
      </c>
      <c r="F17" s="29">
        <f t="shared" si="0"/>
        <v>0.58092485549132944</v>
      </c>
      <c r="G17" s="43">
        <f t="shared" si="1"/>
        <v>7485.4726368159209</v>
      </c>
      <c r="H17" s="27">
        <f t="shared" ref="H17:I17" si="16">C17/B17</f>
        <v>1.6815920398009949</v>
      </c>
      <c r="I17" s="43">
        <f t="shared" si="16"/>
        <v>4451.4201183431951</v>
      </c>
      <c r="J17" s="44"/>
    </row>
    <row r="18" spans="1:10" ht="15.75" customHeight="1">
      <c r="A18" s="30" t="s">
        <v>37</v>
      </c>
      <c r="B18" s="31">
        <v>353</v>
      </c>
      <c r="C18" s="31">
        <v>657</v>
      </c>
      <c r="D18" s="31">
        <v>3447070</v>
      </c>
      <c r="E18" s="31">
        <v>1627065</v>
      </c>
      <c r="F18" s="45">
        <f t="shared" si="0"/>
        <v>1.0202312138728324</v>
      </c>
      <c r="G18" s="46">
        <f t="shared" si="1"/>
        <v>9765.0708215297454</v>
      </c>
      <c r="H18" s="47">
        <f t="shared" ref="H18:I18" si="17">C18/B18</f>
        <v>1.8611898016997168</v>
      </c>
      <c r="I18" s="46">
        <f t="shared" si="17"/>
        <v>5246.681887366819</v>
      </c>
      <c r="J18" s="48"/>
    </row>
    <row r="19" spans="1:10">
      <c r="A19" s="1"/>
      <c r="B19" s="1"/>
      <c r="C19" s="1"/>
      <c r="D19" s="1"/>
      <c r="E19" s="1"/>
      <c r="F19" s="1"/>
      <c r="G19" s="1"/>
      <c r="H19" s="1"/>
      <c r="I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"/>
  <sheetViews>
    <sheetView workbookViewId="0"/>
  </sheetViews>
  <sheetFormatPr defaultColWidth="12.6640625" defaultRowHeight="15.75" customHeight="1"/>
  <sheetData>
    <row r="1" spans="1:22">
      <c r="A1" s="1"/>
      <c r="B1" s="1"/>
      <c r="C1" s="1"/>
      <c r="D1" s="1"/>
      <c r="E1" s="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1"/>
      <c r="D2" s="1"/>
      <c r="E2" s="1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>
      <c r="A3" s="49" t="s">
        <v>40</v>
      </c>
      <c r="B3" s="1"/>
      <c r="C3" s="1"/>
      <c r="D3" s="1"/>
      <c r="E3" s="19"/>
      <c r="F3" s="1"/>
      <c r="G3" s="49" t="s">
        <v>41</v>
      </c>
      <c r="H3" s="1"/>
      <c r="I3" s="1"/>
      <c r="J3" s="1"/>
      <c r="K3" s="1"/>
      <c r="L3" s="1"/>
      <c r="M3" s="49" t="s">
        <v>42</v>
      </c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>
      <c r="A4" s="38" t="s">
        <v>21</v>
      </c>
      <c r="B4" s="38" t="s">
        <v>2</v>
      </c>
      <c r="C4" s="38" t="s">
        <v>3</v>
      </c>
      <c r="D4" s="38" t="s">
        <v>4</v>
      </c>
      <c r="E4" s="50" t="s">
        <v>5</v>
      </c>
      <c r="F4" s="1"/>
      <c r="G4" s="38" t="s">
        <v>21</v>
      </c>
      <c r="H4" s="38" t="s">
        <v>2</v>
      </c>
      <c r="I4" s="38" t="s">
        <v>3</v>
      </c>
      <c r="J4" s="38" t="s">
        <v>4</v>
      </c>
      <c r="K4" s="38" t="s">
        <v>5</v>
      </c>
      <c r="L4" s="1"/>
      <c r="M4" s="38" t="s">
        <v>21</v>
      </c>
      <c r="N4" s="38" t="s">
        <v>2</v>
      </c>
      <c r="O4" s="38" t="s">
        <v>3</v>
      </c>
      <c r="P4" s="38" t="s">
        <v>4</v>
      </c>
      <c r="Q4" s="38" t="s">
        <v>5</v>
      </c>
      <c r="R4" s="1"/>
      <c r="S4" s="1"/>
      <c r="T4" s="1"/>
      <c r="U4" s="1"/>
      <c r="V4" s="1"/>
    </row>
    <row r="5" spans="1:22" ht="15.75" customHeight="1">
      <c r="A5" s="8" t="s">
        <v>24</v>
      </c>
      <c r="B5" s="9">
        <v>2842</v>
      </c>
      <c r="C5" s="9">
        <v>3593</v>
      </c>
      <c r="D5" s="9">
        <v>18866045</v>
      </c>
      <c r="E5" s="51">
        <v>9389215</v>
      </c>
      <c r="F5" s="1"/>
      <c r="G5" s="37"/>
      <c r="H5" s="52"/>
      <c r="I5" s="52"/>
      <c r="J5" s="9">
        <v>0</v>
      </c>
      <c r="K5" s="9">
        <v>0</v>
      </c>
      <c r="L5" s="1"/>
      <c r="M5" s="37"/>
      <c r="N5" s="52"/>
      <c r="O5" s="52"/>
      <c r="P5" s="9">
        <v>0</v>
      </c>
      <c r="Q5" s="9">
        <v>0</v>
      </c>
      <c r="R5" s="1"/>
      <c r="S5" s="1"/>
      <c r="T5" s="1"/>
      <c r="U5" s="1"/>
      <c r="V5" s="1"/>
    </row>
    <row r="6" spans="1:22" ht="15.75" customHeight="1">
      <c r="A6" s="8" t="s">
        <v>25</v>
      </c>
      <c r="B6" s="9">
        <v>529</v>
      </c>
      <c r="C6" s="9">
        <v>818</v>
      </c>
      <c r="D6" s="9">
        <v>4377010</v>
      </c>
      <c r="E6" s="51">
        <v>2173325</v>
      </c>
      <c r="F6" s="1"/>
      <c r="G6" s="8" t="s">
        <v>25</v>
      </c>
      <c r="H6" s="9">
        <v>6161</v>
      </c>
      <c r="I6" s="9">
        <v>7980</v>
      </c>
      <c r="J6" s="9">
        <v>50815985</v>
      </c>
      <c r="K6" s="9">
        <v>26164050</v>
      </c>
      <c r="L6" s="1"/>
      <c r="M6" s="37"/>
      <c r="N6" s="52"/>
      <c r="O6" s="52"/>
      <c r="P6" s="9">
        <v>0</v>
      </c>
      <c r="Q6" s="9">
        <v>0</v>
      </c>
      <c r="R6" s="1"/>
      <c r="S6" s="1"/>
      <c r="T6" s="1"/>
      <c r="U6" s="1"/>
      <c r="V6" s="1"/>
    </row>
    <row r="7" spans="1:22" ht="15.75" customHeight="1">
      <c r="A7" s="8" t="s">
        <v>26</v>
      </c>
      <c r="B7" s="9">
        <v>237</v>
      </c>
      <c r="C7" s="9">
        <v>325</v>
      </c>
      <c r="D7" s="9">
        <v>1908940</v>
      </c>
      <c r="E7" s="51">
        <v>942755</v>
      </c>
      <c r="F7" s="1"/>
      <c r="G7" s="8" t="s">
        <v>26</v>
      </c>
      <c r="H7" s="9">
        <v>619</v>
      </c>
      <c r="I7" s="9">
        <v>939</v>
      </c>
      <c r="J7" s="9">
        <v>5396435</v>
      </c>
      <c r="K7" s="9">
        <v>2596110</v>
      </c>
      <c r="L7" s="1"/>
      <c r="M7" s="37"/>
      <c r="N7" s="52"/>
      <c r="O7" s="52"/>
      <c r="P7" s="9">
        <v>0</v>
      </c>
      <c r="Q7" s="9">
        <v>0</v>
      </c>
      <c r="R7" s="1"/>
      <c r="S7" s="1"/>
      <c r="T7" s="1"/>
      <c r="U7" s="1"/>
      <c r="V7" s="1"/>
    </row>
    <row r="8" spans="1:22" ht="15.75" customHeight="1">
      <c r="A8" s="8" t="s">
        <v>27</v>
      </c>
      <c r="B8" s="9">
        <v>318</v>
      </c>
      <c r="C8" s="9">
        <v>467</v>
      </c>
      <c r="D8" s="9">
        <v>2357300</v>
      </c>
      <c r="E8" s="51">
        <v>1154450</v>
      </c>
      <c r="F8" s="1"/>
      <c r="G8" s="8" t="s">
        <v>27</v>
      </c>
      <c r="H8" s="9">
        <v>546</v>
      </c>
      <c r="I8" s="9">
        <v>855</v>
      </c>
      <c r="J8" s="9">
        <v>4014505</v>
      </c>
      <c r="K8" s="9">
        <v>1990010</v>
      </c>
      <c r="L8" s="1"/>
      <c r="M8" s="37"/>
      <c r="N8" s="52"/>
      <c r="O8" s="52"/>
      <c r="P8" s="9">
        <v>0</v>
      </c>
      <c r="Q8" s="9">
        <v>0</v>
      </c>
      <c r="R8" s="1"/>
      <c r="S8" s="1"/>
      <c r="T8" s="1"/>
      <c r="U8" s="1"/>
      <c r="V8" s="1"/>
    </row>
    <row r="9" spans="1:22" ht="15.75" customHeight="1">
      <c r="A9" s="8" t="s">
        <v>28</v>
      </c>
      <c r="B9" s="9">
        <v>317</v>
      </c>
      <c r="C9" s="9">
        <v>468</v>
      </c>
      <c r="D9" s="9">
        <v>2213530</v>
      </c>
      <c r="E9" s="51">
        <v>1063370</v>
      </c>
      <c r="F9" s="1"/>
      <c r="G9" s="8" t="s">
        <v>28</v>
      </c>
      <c r="H9" s="9">
        <v>451</v>
      </c>
      <c r="I9" s="9">
        <v>696</v>
      </c>
      <c r="J9" s="9">
        <v>3515930</v>
      </c>
      <c r="K9" s="9">
        <v>1742015</v>
      </c>
      <c r="L9" s="1"/>
      <c r="M9" s="37"/>
      <c r="N9" s="52"/>
      <c r="O9" s="52"/>
      <c r="P9" s="9">
        <v>0</v>
      </c>
      <c r="Q9" s="9">
        <v>0</v>
      </c>
      <c r="R9" s="1"/>
      <c r="S9" s="1"/>
      <c r="T9" s="1"/>
      <c r="U9" s="1"/>
      <c r="V9" s="1"/>
    </row>
    <row r="10" spans="1:22" ht="15.75" customHeight="1">
      <c r="A10" s="8" t="s">
        <v>29</v>
      </c>
      <c r="B10" s="9">
        <v>366</v>
      </c>
      <c r="C10" s="9">
        <v>615</v>
      </c>
      <c r="D10" s="9">
        <v>3017685</v>
      </c>
      <c r="E10" s="51">
        <v>1435610</v>
      </c>
      <c r="F10" s="1"/>
      <c r="G10" s="8" t="s">
        <v>29</v>
      </c>
      <c r="H10" s="9">
        <v>939</v>
      </c>
      <c r="I10" s="9">
        <v>1579</v>
      </c>
      <c r="J10" s="9">
        <v>8754185</v>
      </c>
      <c r="K10" s="9">
        <v>4264700</v>
      </c>
      <c r="L10" s="1"/>
      <c r="M10" s="8" t="s">
        <v>29</v>
      </c>
      <c r="N10" s="9">
        <v>5881</v>
      </c>
      <c r="O10" s="9">
        <v>7651</v>
      </c>
      <c r="P10" s="9">
        <v>46089890</v>
      </c>
      <c r="Q10" s="9">
        <v>22577830</v>
      </c>
      <c r="R10" s="1"/>
      <c r="S10" s="1"/>
      <c r="T10" s="1"/>
      <c r="U10" s="1"/>
      <c r="V10" s="1"/>
    </row>
    <row r="11" spans="1:22" ht="15.75" customHeight="1">
      <c r="A11" s="8" t="s">
        <v>30</v>
      </c>
      <c r="B11" s="9">
        <v>234</v>
      </c>
      <c r="C11" s="9">
        <v>339</v>
      </c>
      <c r="D11" s="9">
        <v>1575365</v>
      </c>
      <c r="E11" s="51">
        <v>740795</v>
      </c>
      <c r="F11" s="1"/>
      <c r="G11" s="8" t="s">
        <v>30</v>
      </c>
      <c r="H11" s="9">
        <v>418</v>
      </c>
      <c r="I11" s="9">
        <v>687</v>
      </c>
      <c r="J11" s="9">
        <v>3430020</v>
      </c>
      <c r="K11" s="9">
        <v>1596375</v>
      </c>
      <c r="L11" s="1"/>
      <c r="M11" s="8" t="s">
        <v>30</v>
      </c>
      <c r="N11" s="9">
        <v>690</v>
      </c>
      <c r="O11" s="9">
        <v>1011</v>
      </c>
      <c r="P11" s="9">
        <v>5531845</v>
      </c>
      <c r="Q11" s="9">
        <v>2540340</v>
      </c>
      <c r="R11" s="1"/>
      <c r="S11" s="1"/>
      <c r="T11" s="1"/>
      <c r="U11" s="1"/>
      <c r="V11" s="1"/>
    </row>
    <row r="12" spans="1:22" ht="15.75" customHeight="1">
      <c r="A12" s="8" t="s">
        <v>31</v>
      </c>
      <c r="B12" s="9">
        <v>254</v>
      </c>
      <c r="C12" s="9">
        <v>408</v>
      </c>
      <c r="D12" s="9">
        <v>1804770</v>
      </c>
      <c r="E12" s="51">
        <v>868560</v>
      </c>
      <c r="F12" s="1"/>
      <c r="G12" s="8" t="s">
        <v>31</v>
      </c>
      <c r="H12" s="9">
        <v>442</v>
      </c>
      <c r="I12" s="9">
        <v>738</v>
      </c>
      <c r="J12" s="9">
        <v>3375460</v>
      </c>
      <c r="K12" s="9">
        <v>1614635</v>
      </c>
      <c r="L12" s="1"/>
      <c r="M12" s="8" t="s">
        <v>31</v>
      </c>
      <c r="N12" s="9">
        <v>473</v>
      </c>
      <c r="O12" s="9">
        <v>675</v>
      </c>
      <c r="P12" s="9">
        <v>3571370</v>
      </c>
      <c r="Q12" s="9">
        <v>1677170</v>
      </c>
      <c r="R12" s="1"/>
      <c r="S12" s="1"/>
      <c r="T12" s="1"/>
      <c r="U12" s="1"/>
      <c r="V12" s="1"/>
    </row>
    <row r="13" spans="1:22" ht="15.75" customHeight="1">
      <c r="A13" s="8" t="s">
        <v>32</v>
      </c>
      <c r="B13" s="9">
        <v>269</v>
      </c>
      <c r="C13" s="9">
        <v>385</v>
      </c>
      <c r="D13" s="9">
        <v>1582735</v>
      </c>
      <c r="E13" s="51">
        <v>742940</v>
      </c>
      <c r="F13" s="1"/>
      <c r="G13" s="8" t="s">
        <v>32</v>
      </c>
      <c r="H13" s="9">
        <v>430</v>
      </c>
      <c r="I13" s="9">
        <v>731</v>
      </c>
      <c r="J13" s="9">
        <v>3476385</v>
      </c>
      <c r="K13" s="9">
        <v>1640210</v>
      </c>
      <c r="L13" s="1"/>
      <c r="M13" s="8" t="s">
        <v>32</v>
      </c>
      <c r="N13" s="9">
        <v>420</v>
      </c>
      <c r="O13" s="9">
        <v>601</v>
      </c>
      <c r="P13" s="9">
        <v>2838000</v>
      </c>
      <c r="Q13" s="9">
        <v>1371040</v>
      </c>
      <c r="R13" s="1"/>
      <c r="S13" s="1"/>
      <c r="T13" s="1"/>
      <c r="U13" s="1"/>
      <c r="V13" s="1"/>
    </row>
    <row r="14" spans="1:22" ht="15.75" customHeight="1">
      <c r="A14" s="8" t="s">
        <v>33</v>
      </c>
      <c r="B14" s="9">
        <v>358</v>
      </c>
      <c r="C14" s="9">
        <v>625</v>
      </c>
      <c r="D14" s="9">
        <v>3222065</v>
      </c>
      <c r="E14" s="51">
        <v>1519155</v>
      </c>
      <c r="F14" s="1"/>
      <c r="G14" s="8" t="s">
        <v>33</v>
      </c>
      <c r="H14" s="9">
        <v>885</v>
      </c>
      <c r="I14" s="9">
        <v>1542</v>
      </c>
      <c r="J14" s="9">
        <v>8510590</v>
      </c>
      <c r="K14" s="9">
        <v>4095850</v>
      </c>
      <c r="L14" s="1"/>
      <c r="M14" s="8" t="s">
        <v>33</v>
      </c>
      <c r="N14" s="9">
        <v>999</v>
      </c>
      <c r="O14" s="9">
        <v>1660</v>
      </c>
      <c r="P14" s="9">
        <v>8927160</v>
      </c>
      <c r="Q14" s="9">
        <v>4306665</v>
      </c>
      <c r="R14" s="1"/>
      <c r="S14" s="1"/>
      <c r="T14" s="1"/>
      <c r="U14" s="1"/>
      <c r="V14" s="1"/>
    </row>
    <row r="15" spans="1:22" ht="15.75" customHeight="1">
      <c r="A15" s="8" t="s">
        <v>34</v>
      </c>
      <c r="B15" s="9">
        <v>220</v>
      </c>
      <c r="C15" s="9">
        <v>323</v>
      </c>
      <c r="D15" s="9">
        <v>1638945</v>
      </c>
      <c r="E15" s="51">
        <v>766755</v>
      </c>
      <c r="F15" s="1"/>
      <c r="G15" s="8" t="s">
        <v>34</v>
      </c>
      <c r="H15" s="9">
        <v>381</v>
      </c>
      <c r="I15" s="9">
        <v>625</v>
      </c>
      <c r="J15" s="9">
        <v>3439535</v>
      </c>
      <c r="K15" s="9">
        <v>1651705</v>
      </c>
      <c r="L15" s="1"/>
      <c r="M15" s="8" t="s">
        <v>34</v>
      </c>
      <c r="N15" s="9">
        <v>387</v>
      </c>
      <c r="O15" s="9">
        <v>562</v>
      </c>
      <c r="P15" s="9">
        <v>3135275</v>
      </c>
      <c r="Q15" s="9">
        <v>1509805</v>
      </c>
      <c r="R15" s="1"/>
      <c r="S15" s="1"/>
      <c r="T15" s="1"/>
      <c r="U15" s="1"/>
      <c r="V15" s="1"/>
    </row>
    <row r="16" spans="1:22" ht="15.75" customHeight="1">
      <c r="A16" s="8" t="s">
        <v>35</v>
      </c>
      <c r="B16" s="9">
        <v>224</v>
      </c>
      <c r="C16" s="9">
        <v>338</v>
      </c>
      <c r="D16" s="9">
        <v>1742675</v>
      </c>
      <c r="E16" s="51">
        <v>828905</v>
      </c>
      <c r="F16" s="1"/>
      <c r="G16" s="8" t="s">
        <v>35</v>
      </c>
      <c r="H16" s="9">
        <v>384</v>
      </c>
      <c r="I16" s="9">
        <v>654</v>
      </c>
      <c r="J16" s="9">
        <v>3467475</v>
      </c>
      <c r="K16" s="9">
        <v>1650495</v>
      </c>
      <c r="L16" s="1"/>
      <c r="M16" s="8" t="s">
        <v>35</v>
      </c>
      <c r="N16" s="9">
        <v>343</v>
      </c>
      <c r="O16" s="9">
        <v>522</v>
      </c>
      <c r="P16" s="9">
        <v>2546775</v>
      </c>
      <c r="Q16" s="9">
        <v>1241075</v>
      </c>
      <c r="R16" s="1"/>
      <c r="S16" s="1"/>
      <c r="T16" s="1"/>
      <c r="U16" s="1"/>
      <c r="V16" s="1"/>
    </row>
    <row r="17" spans="1:22" ht="15.75" customHeight="1">
      <c r="A17" s="8" t="s">
        <v>36</v>
      </c>
      <c r="B17" s="9">
        <v>230</v>
      </c>
      <c r="C17" s="9">
        <v>349</v>
      </c>
      <c r="D17" s="9">
        <v>1446720</v>
      </c>
      <c r="E17" s="51">
        <v>692780</v>
      </c>
      <c r="F17" s="1"/>
      <c r="G17" s="8" t="s">
        <v>36</v>
      </c>
      <c r="H17" s="9">
        <v>351</v>
      </c>
      <c r="I17" s="9">
        <v>561</v>
      </c>
      <c r="J17" s="9">
        <v>2413840</v>
      </c>
      <c r="K17" s="9">
        <v>1158025</v>
      </c>
      <c r="L17" s="1"/>
      <c r="M17" s="8" t="s">
        <v>36</v>
      </c>
      <c r="N17" s="9">
        <v>356</v>
      </c>
      <c r="O17" s="9">
        <v>518</v>
      </c>
      <c r="P17" s="9">
        <v>2251975</v>
      </c>
      <c r="Q17" s="9">
        <v>1074480</v>
      </c>
      <c r="R17" s="1"/>
      <c r="S17" s="1"/>
      <c r="T17" s="1"/>
      <c r="U17" s="1"/>
      <c r="V17" s="1"/>
    </row>
    <row r="18" spans="1:22" ht="15.75" customHeight="1">
      <c r="A18" s="30" t="s">
        <v>37</v>
      </c>
      <c r="B18" s="31">
        <v>311</v>
      </c>
      <c r="C18" s="31">
        <v>523</v>
      </c>
      <c r="D18" s="31">
        <v>2693735</v>
      </c>
      <c r="E18" s="53">
        <v>1293325</v>
      </c>
      <c r="F18" s="1"/>
      <c r="G18" s="30" t="s">
        <v>37</v>
      </c>
      <c r="H18" s="31">
        <v>743</v>
      </c>
      <c r="I18" s="31">
        <v>1364</v>
      </c>
      <c r="J18" s="31">
        <v>7542645</v>
      </c>
      <c r="K18" s="31">
        <v>3669875</v>
      </c>
      <c r="L18" s="1"/>
      <c r="M18" s="30" t="s">
        <v>37</v>
      </c>
      <c r="N18" s="31">
        <v>778</v>
      </c>
      <c r="O18" s="31">
        <v>1300</v>
      </c>
      <c r="P18" s="31">
        <v>7285410</v>
      </c>
      <c r="Q18" s="31">
        <v>3469510</v>
      </c>
      <c r="R18" s="1"/>
      <c r="S18" s="1"/>
      <c r="T18" s="1"/>
      <c r="U18" s="1"/>
      <c r="V18" s="1"/>
    </row>
    <row r="19" spans="1:22">
      <c r="A19" s="1"/>
      <c r="B19" s="1"/>
      <c r="C19" s="12">
        <f t="shared" ref="C19:E19" si="0">STDEV(C4:C18)/AVERAGE(C4:C18)</f>
        <v>1.2421203478290033</v>
      </c>
      <c r="D19" s="12">
        <f t="shared" si="0"/>
        <v>1.303056808722453</v>
      </c>
      <c r="E19" s="12">
        <f t="shared" si="0"/>
        <v>1.3365916087627037</v>
      </c>
      <c r="F19" s="1"/>
      <c r="G19" s="1"/>
      <c r="H19" s="1"/>
      <c r="I19" s="12">
        <f t="shared" ref="I19:K19" si="1">STDEV(I6:I14)/AVERAGE(I6:I14)</f>
        <v>1.3502010953398882</v>
      </c>
      <c r="J19" s="12">
        <f t="shared" si="1"/>
        <v>1.5186146842945647</v>
      </c>
      <c r="K19" s="12">
        <f t="shared" si="1"/>
        <v>1.5707444870348233</v>
      </c>
      <c r="L19" s="1"/>
      <c r="M19" s="1"/>
      <c r="N19" s="1"/>
      <c r="O19" s="12">
        <f t="shared" ref="O19:Q19" si="2">STDEV(O4:O18)/AVERAGE(O4:O18)</f>
        <v>1.4275505992560771</v>
      </c>
      <c r="P19" s="12">
        <f t="shared" si="2"/>
        <v>2.0309159162867818</v>
      </c>
      <c r="Q19" s="12">
        <f t="shared" si="2"/>
        <v>2.0562240469385347</v>
      </c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>
      <c r="A21" s="54" t="s">
        <v>43</v>
      </c>
      <c r="B21" s="1"/>
      <c r="C21" s="1"/>
      <c r="D21" s="1"/>
      <c r="E21" s="1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>
      <c r="A22" s="55" t="s">
        <v>21</v>
      </c>
      <c r="B22" s="55" t="s">
        <v>2</v>
      </c>
      <c r="C22" s="55" t="s">
        <v>3</v>
      </c>
      <c r="D22" s="55" t="s">
        <v>4</v>
      </c>
      <c r="E22" s="56" t="s">
        <v>5</v>
      </c>
      <c r="F22" s="23" t="s">
        <v>38</v>
      </c>
      <c r="G22" s="23" t="s">
        <v>39</v>
      </c>
      <c r="H22" s="23" t="s">
        <v>18</v>
      </c>
      <c r="I22" s="23" t="s">
        <v>19</v>
      </c>
      <c r="J22" s="5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>
      <c r="A23" s="58" t="s">
        <v>24</v>
      </c>
      <c r="B23" s="59">
        <v>2842</v>
      </c>
      <c r="C23" s="59">
        <v>3593</v>
      </c>
      <c r="D23" s="59">
        <v>18866045</v>
      </c>
      <c r="E23" s="60">
        <v>9389215</v>
      </c>
      <c r="F23" s="29">
        <f t="shared" ref="F23:F36" si="3">B23/$B$23</f>
        <v>1</v>
      </c>
      <c r="G23" s="43">
        <f t="shared" ref="G23:G36" si="4">D23/B23</f>
        <v>6638.2987332864177</v>
      </c>
      <c r="H23" s="27">
        <f t="shared" ref="H23:I23" si="5">C23/B23</f>
        <v>1.2642505277973257</v>
      </c>
      <c r="I23" s="43">
        <f t="shared" si="5"/>
        <v>5250.7779014750904</v>
      </c>
      <c r="J23" s="61"/>
      <c r="K23" s="1"/>
      <c r="L23" s="62" t="s">
        <v>21</v>
      </c>
      <c r="M23" s="63" t="s">
        <v>40</v>
      </c>
      <c r="N23" s="63" t="s">
        <v>41</v>
      </c>
      <c r="O23" s="63" t="s">
        <v>42</v>
      </c>
      <c r="P23" s="22" t="s">
        <v>40</v>
      </c>
      <c r="Q23" s="22" t="s">
        <v>41</v>
      </c>
      <c r="R23" s="22" t="s">
        <v>42</v>
      </c>
      <c r="S23" s="22" t="s">
        <v>40</v>
      </c>
      <c r="T23" s="22" t="s">
        <v>41</v>
      </c>
      <c r="U23" s="22" t="s">
        <v>42</v>
      </c>
      <c r="V23" s="1"/>
    </row>
    <row r="24" spans="1:22" ht="15.75" customHeight="1">
      <c r="A24" s="58" t="s">
        <v>25</v>
      </c>
      <c r="B24" s="59">
        <v>529</v>
      </c>
      <c r="C24" s="59">
        <v>818</v>
      </c>
      <c r="D24" s="59">
        <v>4377010</v>
      </c>
      <c r="E24" s="60">
        <v>2173325</v>
      </c>
      <c r="F24" s="29">
        <f t="shared" si="3"/>
        <v>0.18613652357494723</v>
      </c>
      <c r="G24" s="43">
        <f t="shared" si="4"/>
        <v>8274.1209829867676</v>
      </c>
      <c r="H24" s="27">
        <f t="shared" ref="H24:I24" si="6">C24/B24</f>
        <v>1.5463137996219283</v>
      </c>
      <c r="I24" s="43">
        <f t="shared" si="6"/>
        <v>5350.867970660147</v>
      </c>
      <c r="J24" s="61"/>
      <c r="K24" s="1"/>
      <c r="L24" s="64" t="s">
        <v>24</v>
      </c>
      <c r="M24" s="11">
        <f t="shared" ref="M24:M37" si="7">F23</f>
        <v>1</v>
      </c>
      <c r="N24" s="2"/>
      <c r="O24" s="2"/>
      <c r="P24" s="65">
        <f t="shared" ref="P24:P37" si="8">G23</f>
        <v>6638.2987332864177</v>
      </c>
      <c r="Q24" s="1"/>
      <c r="R24" s="1"/>
      <c r="S24" s="65">
        <f t="shared" ref="S24:S37" si="9">I23</f>
        <v>5250.7779014750904</v>
      </c>
      <c r="T24" s="1"/>
      <c r="U24" s="1"/>
      <c r="V24" s="1"/>
    </row>
    <row r="25" spans="1:22" ht="15.75" customHeight="1">
      <c r="A25" s="58" t="s">
        <v>26</v>
      </c>
      <c r="B25" s="59">
        <v>237</v>
      </c>
      <c r="C25" s="59">
        <v>325</v>
      </c>
      <c r="D25" s="59">
        <v>1908940</v>
      </c>
      <c r="E25" s="60">
        <v>942755</v>
      </c>
      <c r="F25" s="29">
        <f t="shared" si="3"/>
        <v>8.3391977480647431E-2</v>
      </c>
      <c r="G25" s="43">
        <f t="shared" si="4"/>
        <v>8054.5991561181436</v>
      </c>
      <c r="H25" s="27">
        <f t="shared" ref="H25:I25" si="10">C25/B25</f>
        <v>1.371308016877637</v>
      </c>
      <c r="I25" s="43">
        <f t="shared" si="10"/>
        <v>5873.6615384615388</v>
      </c>
      <c r="J25" s="61"/>
      <c r="K25" s="1"/>
      <c r="L25" s="64" t="s">
        <v>25</v>
      </c>
      <c r="M25" s="11">
        <f t="shared" si="7"/>
        <v>0.18613652357494723</v>
      </c>
      <c r="N25" s="11">
        <f t="shared" ref="N25:N37" si="11">F42</f>
        <v>1</v>
      </c>
      <c r="O25" s="2"/>
      <c r="P25" s="65">
        <f t="shared" si="8"/>
        <v>8274.1209829867676</v>
      </c>
      <c r="Q25" s="65">
        <f t="shared" ref="Q25:Q38" si="12">G42</f>
        <v>8248.0092517448466</v>
      </c>
      <c r="R25" s="1"/>
      <c r="S25" s="65">
        <f t="shared" si="9"/>
        <v>5350.867970660147</v>
      </c>
      <c r="T25" s="65">
        <f t="shared" ref="T25:T37" si="13">I42</f>
        <v>6367.917919799499</v>
      </c>
      <c r="U25" s="1"/>
      <c r="V25" s="1"/>
    </row>
    <row r="26" spans="1:22" ht="15.75" customHeight="1">
      <c r="A26" s="58" t="s">
        <v>27</v>
      </c>
      <c r="B26" s="59">
        <v>318</v>
      </c>
      <c r="C26" s="59">
        <v>467</v>
      </c>
      <c r="D26" s="59">
        <v>2357300</v>
      </c>
      <c r="E26" s="60">
        <v>1154450</v>
      </c>
      <c r="F26" s="29">
        <f t="shared" si="3"/>
        <v>0.11189303307529909</v>
      </c>
      <c r="G26" s="43">
        <f t="shared" si="4"/>
        <v>7412.8930817610062</v>
      </c>
      <c r="H26" s="27">
        <f t="shared" ref="H26:I26" si="14">C26/B26</f>
        <v>1.4685534591194969</v>
      </c>
      <c r="I26" s="43">
        <f t="shared" si="14"/>
        <v>5047.751605995717</v>
      </c>
      <c r="J26" s="61"/>
      <c r="K26" s="1"/>
      <c r="L26" s="64" t="s">
        <v>26</v>
      </c>
      <c r="M26" s="11">
        <f t="shared" si="7"/>
        <v>8.3391977480647431E-2</v>
      </c>
      <c r="N26" s="11">
        <f t="shared" si="11"/>
        <v>0.10047070280798572</v>
      </c>
      <c r="O26" s="2"/>
      <c r="P26" s="65">
        <f t="shared" si="8"/>
        <v>8054.5991561181436</v>
      </c>
      <c r="Q26" s="65">
        <f t="shared" si="12"/>
        <v>8717.9886914378021</v>
      </c>
      <c r="R26" s="1"/>
      <c r="S26" s="65">
        <f t="shared" si="9"/>
        <v>5873.6615384615388</v>
      </c>
      <c r="T26" s="65">
        <f t="shared" si="13"/>
        <v>5747.0021299254522</v>
      </c>
      <c r="U26" s="1"/>
      <c r="V26" s="1"/>
    </row>
    <row r="27" spans="1:22" ht="14.4">
      <c r="A27" s="58" t="s">
        <v>28</v>
      </c>
      <c r="B27" s="59">
        <v>317</v>
      </c>
      <c r="C27" s="59">
        <v>468</v>
      </c>
      <c r="D27" s="59">
        <v>2213530</v>
      </c>
      <c r="E27" s="60">
        <v>1063370</v>
      </c>
      <c r="F27" s="29">
        <f t="shared" si="3"/>
        <v>0.11154116819141449</v>
      </c>
      <c r="G27" s="43">
        <f t="shared" si="4"/>
        <v>6982.744479495268</v>
      </c>
      <c r="H27" s="27">
        <f t="shared" ref="H27:I27" si="15">C27/B27</f>
        <v>1.4763406940063091</v>
      </c>
      <c r="I27" s="43">
        <f t="shared" si="15"/>
        <v>4729.764957264957</v>
      </c>
      <c r="J27" s="61"/>
      <c r="K27" s="1"/>
      <c r="L27" s="64" t="s">
        <v>27</v>
      </c>
      <c r="M27" s="11">
        <f t="shared" si="7"/>
        <v>0.11189303307529909</v>
      </c>
      <c r="N27" s="11">
        <f t="shared" si="11"/>
        <v>8.8621976951793538E-2</v>
      </c>
      <c r="O27" s="2"/>
      <c r="P27" s="65">
        <f t="shared" si="8"/>
        <v>7412.8930817610062</v>
      </c>
      <c r="Q27" s="65">
        <f t="shared" si="12"/>
        <v>7352.5732600732599</v>
      </c>
      <c r="R27" s="1"/>
      <c r="S27" s="65">
        <f t="shared" si="9"/>
        <v>5047.751605995717</v>
      </c>
      <c r="T27" s="65">
        <f t="shared" si="13"/>
        <v>4695.3274853801167</v>
      </c>
      <c r="U27" s="1"/>
      <c r="V27" s="1"/>
    </row>
    <row r="28" spans="1:22" ht="14.4">
      <c r="A28" s="58" t="s">
        <v>29</v>
      </c>
      <c r="B28" s="59">
        <v>366</v>
      </c>
      <c r="C28" s="59">
        <v>615</v>
      </c>
      <c r="D28" s="59">
        <v>3017685</v>
      </c>
      <c r="E28" s="60">
        <v>1435610</v>
      </c>
      <c r="F28" s="29">
        <f t="shared" si="3"/>
        <v>0.12878254750175933</v>
      </c>
      <c r="G28" s="43">
        <f t="shared" si="4"/>
        <v>8245.0409836065573</v>
      </c>
      <c r="H28" s="27">
        <f t="shared" ref="H28:I28" si="16">C28/B28</f>
        <v>1.680327868852459</v>
      </c>
      <c r="I28" s="43">
        <f t="shared" si="16"/>
        <v>4906.8048780487807</v>
      </c>
      <c r="J28" s="61"/>
      <c r="K28" s="1"/>
      <c r="L28" s="64" t="s">
        <v>28</v>
      </c>
      <c r="M28" s="11">
        <f t="shared" si="7"/>
        <v>0.11154116819141449</v>
      </c>
      <c r="N28" s="11">
        <f t="shared" si="11"/>
        <v>7.3202402207433862E-2</v>
      </c>
      <c r="O28" s="2"/>
      <c r="P28" s="65">
        <f t="shared" si="8"/>
        <v>6982.744479495268</v>
      </c>
      <c r="Q28" s="65">
        <f t="shared" si="12"/>
        <v>7795.8536585365855</v>
      </c>
      <c r="R28" s="1"/>
      <c r="S28" s="65">
        <f t="shared" si="9"/>
        <v>4729.764957264957</v>
      </c>
      <c r="T28" s="65">
        <f t="shared" si="13"/>
        <v>5051.6235632183907</v>
      </c>
      <c r="U28" s="1"/>
      <c r="V28" s="1"/>
    </row>
    <row r="29" spans="1:22" ht="14.4">
      <c r="A29" s="58" t="s">
        <v>30</v>
      </c>
      <c r="B29" s="59">
        <v>234</v>
      </c>
      <c r="C29" s="59">
        <v>339</v>
      </c>
      <c r="D29" s="59">
        <v>1575365</v>
      </c>
      <c r="E29" s="60">
        <v>740795</v>
      </c>
      <c r="F29" s="29">
        <f t="shared" si="3"/>
        <v>8.2336382828993665E-2</v>
      </c>
      <c r="G29" s="43">
        <f t="shared" si="4"/>
        <v>6732.3290598290596</v>
      </c>
      <c r="H29" s="27">
        <f t="shared" ref="H29:I29" si="17">C29/B29</f>
        <v>1.4487179487179487</v>
      </c>
      <c r="I29" s="43">
        <f t="shared" si="17"/>
        <v>4647.0943952802363</v>
      </c>
      <c r="J29" s="61"/>
      <c r="K29" s="1"/>
      <c r="L29" s="64" t="s">
        <v>29</v>
      </c>
      <c r="M29" s="11">
        <f t="shared" si="7"/>
        <v>0.12878254750175933</v>
      </c>
      <c r="N29" s="11">
        <f t="shared" si="11"/>
        <v>0.15241032299951307</v>
      </c>
      <c r="O29" s="11">
        <f t="shared" ref="O29:O37" si="18">F64</f>
        <v>1</v>
      </c>
      <c r="P29" s="65">
        <f t="shared" si="8"/>
        <v>8245.0409836065573</v>
      </c>
      <c r="Q29" s="65">
        <f t="shared" si="12"/>
        <v>9322.8807241746545</v>
      </c>
      <c r="R29" s="65">
        <f t="shared" ref="R29:R37" si="19">G64</f>
        <v>7837.0838292807348</v>
      </c>
      <c r="S29" s="65">
        <f t="shared" si="9"/>
        <v>4906.8048780487807</v>
      </c>
      <c r="T29" s="65">
        <f t="shared" si="13"/>
        <v>5544.1323622545915</v>
      </c>
      <c r="U29" s="65">
        <f t="shared" ref="U29:U37" si="20">I64</f>
        <v>6024.0347666971638</v>
      </c>
      <c r="V29" s="1"/>
    </row>
    <row r="30" spans="1:22" ht="14.4">
      <c r="A30" s="58" t="s">
        <v>31</v>
      </c>
      <c r="B30" s="59">
        <v>254</v>
      </c>
      <c r="C30" s="59">
        <v>408</v>
      </c>
      <c r="D30" s="59">
        <v>1804770</v>
      </c>
      <c r="E30" s="60">
        <v>868560</v>
      </c>
      <c r="F30" s="29">
        <f t="shared" si="3"/>
        <v>8.9373680506685427E-2</v>
      </c>
      <c r="G30" s="43">
        <f t="shared" si="4"/>
        <v>7105.3937007874019</v>
      </c>
      <c r="H30" s="27">
        <f t="shared" ref="H30:I30" si="21">C30/B30</f>
        <v>1.6062992125984252</v>
      </c>
      <c r="I30" s="43">
        <f t="shared" si="21"/>
        <v>4423.4558823529414</v>
      </c>
      <c r="J30" s="61"/>
      <c r="K30" s="1"/>
      <c r="L30" s="64" t="s">
        <v>30</v>
      </c>
      <c r="M30" s="11">
        <f t="shared" si="7"/>
        <v>8.2336382828993665E-2</v>
      </c>
      <c r="N30" s="11">
        <f t="shared" si="11"/>
        <v>6.7846128875182599E-2</v>
      </c>
      <c r="O30" s="11">
        <f t="shared" si="18"/>
        <v>0.11732698520659751</v>
      </c>
      <c r="P30" s="65">
        <f t="shared" si="8"/>
        <v>6732.3290598290596</v>
      </c>
      <c r="Q30" s="65">
        <f t="shared" si="12"/>
        <v>8205.78947368421</v>
      </c>
      <c r="R30" s="65">
        <f t="shared" si="19"/>
        <v>8017.166666666667</v>
      </c>
      <c r="S30" s="65">
        <f t="shared" si="9"/>
        <v>4647.0943952802363</v>
      </c>
      <c r="T30" s="65">
        <f t="shared" si="13"/>
        <v>4992.7510917030568</v>
      </c>
      <c r="U30" s="65">
        <f t="shared" si="20"/>
        <v>5471.6567754698317</v>
      </c>
      <c r="V30" s="1"/>
    </row>
    <row r="31" spans="1:22" ht="14.4">
      <c r="A31" s="58" t="s">
        <v>32</v>
      </c>
      <c r="B31" s="59">
        <v>269</v>
      </c>
      <c r="C31" s="59">
        <v>385</v>
      </c>
      <c r="D31" s="59">
        <v>1582735</v>
      </c>
      <c r="E31" s="60">
        <v>742940</v>
      </c>
      <c r="F31" s="29">
        <f t="shared" si="3"/>
        <v>9.4651653764954255E-2</v>
      </c>
      <c r="G31" s="43">
        <f t="shared" si="4"/>
        <v>5883.7732342007439</v>
      </c>
      <c r="H31" s="27">
        <f t="shared" ref="H31:I31" si="22">C31/B31</f>
        <v>1.4312267657992566</v>
      </c>
      <c r="I31" s="43">
        <f t="shared" si="22"/>
        <v>4111</v>
      </c>
      <c r="J31" s="61"/>
      <c r="K31" s="1"/>
      <c r="L31" s="64" t="s">
        <v>31</v>
      </c>
      <c r="M31" s="11">
        <f t="shared" si="7"/>
        <v>8.9373680506685427E-2</v>
      </c>
      <c r="N31" s="11">
        <f t="shared" si="11"/>
        <v>7.1741600389547147E-2</v>
      </c>
      <c r="O31" s="11">
        <f t="shared" si="18"/>
        <v>8.0428498554667577E-2</v>
      </c>
      <c r="P31" s="65">
        <f t="shared" si="8"/>
        <v>7105.3937007874019</v>
      </c>
      <c r="Q31" s="65">
        <f t="shared" si="12"/>
        <v>7636.7873303167416</v>
      </c>
      <c r="R31" s="65">
        <f t="shared" si="19"/>
        <v>7550.4651162790697</v>
      </c>
      <c r="S31" s="65">
        <f t="shared" si="9"/>
        <v>4423.4558823529414</v>
      </c>
      <c r="T31" s="65">
        <f t="shared" si="13"/>
        <v>4573.794037940379</v>
      </c>
      <c r="U31" s="65">
        <f t="shared" si="20"/>
        <v>5290.9185185185188</v>
      </c>
      <c r="V31" s="1"/>
    </row>
    <row r="32" spans="1:22" ht="14.4">
      <c r="A32" s="58" t="s">
        <v>33</v>
      </c>
      <c r="B32" s="59">
        <v>358</v>
      </c>
      <c r="C32" s="59">
        <v>625</v>
      </c>
      <c r="D32" s="59">
        <v>3222065</v>
      </c>
      <c r="E32" s="60">
        <v>1519155</v>
      </c>
      <c r="F32" s="29">
        <f t="shared" si="3"/>
        <v>0.12596762843068263</v>
      </c>
      <c r="G32" s="43">
        <f t="shared" si="4"/>
        <v>9000.1815642458096</v>
      </c>
      <c r="H32" s="27">
        <f t="shared" ref="H32:I32" si="23">C32/B32</f>
        <v>1.7458100558659218</v>
      </c>
      <c r="I32" s="43">
        <f t="shared" si="23"/>
        <v>5155.3040000000001</v>
      </c>
      <c r="J32" s="66"/>
      <c r="K32" s="1"/>
      <c r="L32" s="64" t="s">
        <v>32</v>
      </c>
      <c r="M32" s="11">
        <f t="shared" si="7"/>
        <v>9.4651653764954255E-2</v>
      </c>
      <c r="N32" s="11">
        <f t="shared" si="11"/>
        <v>6.979386463236488E-2</v>
      </c>
      <c r="O32" s="11">
        <f t="shared" si="18"/>
        <v>7.1416425777928921E-2</v>
      </c>
      <c r="P32" s="65">
        <f t="shared" si="8"/>
        <v>5883.7732342007439</v>
      </c>
      <c r="Q32" s="65">
        <f t="shared" si="12"/>
        <v>8084.6162790697672</v>
      </c>
      <c r="R32" s="65">
        <f t="shared" si="19"/>
        <v>6757.1428571428569</v>
      </c>
      <c r="S32" s="65">
        <f t="shared" si="9"/>
        <v>4111</v>
      </c>
      <c r="T32" s="65">
        <f t="shared" si="13"/>
        <v>4755.6566347469225</v>
      </c>
      <c r="U32" s="65">
        <f t="shared" si="20"/>
        <v>4722.1297836938438</v>
      </c>
      <c r="V32" s="1"/>
    </row>
    <row r="33" spans="1:22" ht="14.4">
      <c r="A33" s="58" t="s">
        <v>34</v>
      </c>
      <c r="B33" s="59">
        <v>220</v>
      </c>
      <c r="C33" s="59">
        <v>323</v>
      </c>
      <c r="D33" s="59">
        <v>1638945</v>
      </c>
      <c r="E33" s="60">
        <v>766755</v>
      </c>
      <c r="F33" s="29">
        <f t="shared" si="3"/>
        <v>7.7410274454609435E-2</v>
      </c>
      <c r="G33" s="43">
        <f t="shared" si="4"/>
        <v>7449.75</v>
      </c>
      <c r="H33" s="27">
        <f t="shared" ref="H33:I33" si="24">C33/B33</f>
        <v>1.4681818181818183</v>
      </c>
      <c r="I33" s="43">
        <f t="shared" si="24"/>
        <v>5074.1331269349848</v>
      </c>
      <c r="J33" s="61"/>
      <c r="K33" s="1"/>
      <c r="L33" s="64" t="s">
        <v>33</v>
      </c>
      <c r="M33" s="11">
        <f t="shared" si="7"/>
        <v>0.12596762843068263</v>
      </c>
      <c r="N33" s="11">
        <f t="shared" si="11"/>
        <v>0.14364551209219284</v>
      </c>
      <c r="O33" s="11">
        <f t="shared" si="18"/>
        <v>0.16986906988607381</v>
      </c>
      <c r="P33" s="65">
        <f t="shared" si="8"/>
        <v>9000.1815642458096</v>
      </c>
      <c r="Q33" s="65">
        <f t="shared" si="12"/>
        <v>9616.4858757062138</v>
      </c>
      <c r="R33" s="65">
        <f t="shared" si="19"/>
        <v>8936.0960960960965</v>
      </c>
      <c r="S33" s="65">
        <f t="shared" si="9"/>
        <v>5155.3040000000001</v>
      </c>
      <c r="T33" s="65">
        <f t="shared" si="13"/>
        <v>5519.1893644617376</v>
      </c>
      <c r="U33" s="65">
        <f t="shared" si="20"/>
        <v>5377.8072289156626</v>
      </c>
      <c r="V33" s="1"/>
    </row>
    <row r="34" spans="1:22" ht="14.4">
      <c r="A34" s="58" t="s">
        <v>35</v>
      </c>
      <c r="B34" s="59">
        <v>224</v>
      </c>
      <c r="C34" s="59">
        <v>338</v>
      </c>
      <c r="D34" s="59">
        <v>1742675</v>
      </c>
      <c r="E34" s="60">
        <v>828905</v>
      </c>
      <c r="F34" s="29">
        <f t="shared" si="3"/>
        <v>7.8817733990147784E-2</v>
      </c>
      <c r="G34" s="43">
        <f t="shared" si="4"/>
        <v>7779.7991071428569</v>
      </c>
      <c r="H34" s="27">
        <f t="shared" ref="H34:I34" si="25">C34/B34</f>
        <v>1.5089285714285714</v>
      </c>
      <c r="I34" s="43">
        <f t="shared" si="25"/>
        <v>5155.8431952662722</v>
      </c>
      <c r="J34" s="1"/>
      <c r="K34" s="1"/>
      <c r="L34" s="64" t="s">
        <v>34</v>
      </c>
      <c r="M34" s="11">
        <f t="shared" si="7"/>
        <v>7.7410274454609435E-2</v>
      </c>
      <c r="N34" s="11">
        <f t="shared" si="11"/>
        <v>6.1840610290537251E-2</v>
      </c>
      <c r="O34" s="11">
        <f t="shared" si="18"/>
        <v>6.5805135181091656E-2</v>
      </c>
      <c r="P34" s="65">
        <f t="shared" si="8"/>
        <v>7449.75</v>
      </c>
      <c r="Q34" s="65">
        <f t="shared" si="12"/>
        <v>9027.6509186351705</v>
      </c>
      <c r="R34" s="65">
        <f t="shared" si="19"/>
        <v>8101.485788113695</v>
      </c>
      <c r="S34" s="65">
        <f t="shared" si="9"/>
        <v>5074.1331269349848</v>
      </c>
      <c r="T34" s="65">
        <f t="shared" si="13"/>
        <v>5503.2560000000003</v>
      </c>
      <c r="U34" s="65">
        <f t="shared" si="20"/>
        <v>5578.7811387900356</v>
      </c>
      <c r="V34" s="1"/>
    </row>
    <row r="35" spans="1:22" ht="14.4">
      <c r="A35" s="58" t="s">
        <v>36</v>
      </c>
      <c r="B35" s="59">
        <v>230</v>
      </c>
      <c r="C35" s="59">
        <v>349</v>
      </c>
      <c r="D35" s="59">
        <v>1446720</v>
      </c>
      <c r="E35" s="60">
        <v>692780</v>
      </c>
      <c r="F35" s="29">
        <f t="shared" si="3"/>
        <v>8.0928923293455315E-2</v>
      </c>
      <c r="G35" s="43">
        <f t="shared" si="4"/>
        <v>6290.086956521739</v>
      </c>
      <c r="H35" s="27">
        <f t="shared" ref="H35:I35" si="26">C35/B35</f>
        <v>1.517391304347826</v>
      </c>
      <c r="I35" s="43">
        <f t="shared" si="26"/>
        <v>4145.3295128939826</v>
      </c>
      <c r="J35" s="1"/>
      <c r="K35" s="1"/>
      <c r="L35" s="64" t="s">
        <v>35</v>
      </c>
      <c r="M35" s="11">
        <f t="shared" si="7"/>
        <v>7.8817733990147784E-2</v>
      </c>
      <c r="N35" s="11">
        <f t="shared" si="11"/>
        <v>6.2327544229832818E-2</v>
      </c>
      <c r="O35" s="11">
        <f t="shared" si="18"/>
        <v>5.8323414385308622E-2</v>
      </c>
      <c r="P35" s="65">
        <f t="shared" si="8"/>
        <v>7779.7991071428569</v>
      </c>
      <c r="Q35" s="65">
        <f t="shared" si="12"/>
        <v>9029.8828125</v>
      </c>
      <c r="R35" s="65">
        <f t="shared" si="19"/>
        <v>7425</v>
      </c>
      <c r="S35" s="65">
        <f t="shared" si="9"/>
        <v>5155.8431952662722</v>
      </c>
      <c r="T35" s="65">
        <f t="shared" si="13"/>
        <v>5301.9495412844035</v>
      </c>
      <c r="U35" s="65">
        <f t="shared" si="20"/>
        <v>4878.8793103448279</v>
      </c>
      <c r="V35" s="1"/>
    </row>
    <row r="36" spans="1:22" ht="14.4">
      <c r="A36" s="67" t="s">
        <v>37</v>
      </c>
      <c r="B36" s="68">
        <v>311</v>
      </c>
      <c r="C36" s="68">
        <v>523</v>
      </c>
      <c r="D36" s="68">
        <v>2693735</v>
      </c>
      <c r="E36" s="69">
        <v>1293325</v>
      </c>
      <c r="F36" s="29">
        <f t="shared" si="3"/>
        <v>0.10942997888810696</v>
      </c>
      <c r="G36" s="43">
        <f t="shared" si="4"/>
        <v>8661.5273311897108</v>
      </c>
      <c r="H36" s="27">
        <f t="shared" ref="H36:I36" si="27">C36/B36</f>
        <v>1.6816720257234727</v>
      </c>
      <c r="I36" s="43">
        <f t="shared" si="27"/>
        <v>5150.544933078394</v>
      </c>
      <c r="J36" s="1"/>
      <c r="K36" s="1"/>
      <c r="L36" s="64" t="s">
        <v>36</v>
      </c>
      <c r="M36" s="11">
        <f t="shared" si="7"/>
        <v>8.0928923293455315E-2</v>
      </c>
      <c r="N36" s="11">
        <f t="shared" si="11"/>
        <v>5.6971270897581562E-2</v>
      </c>
      <c r="O36" s="11">
        <f t="shared" si="18"/>
        <v>6.0533922802244518E-2</v>
      </c>
      <c r="P36" s="65">
        <f t="shared" si="8"/>
        <v>6290.086956521739</v>
      </c>
      <c r="Q36" s="65">
        <f t="shared" si="12"/>
        <v>6877.0370370370374</v>
      </c>
      <c r="R36" s="65">
        <f t="shared" si="19"/>
        <v>6325.7724719101125</v>
      </c>
      <c r="S36" s="65">
        <f t="shared" si="9"/>
        <v>4145.3295128939826</v>
      </c>
      <c r="T36" s="65">
        <f t="shared" si="13"/>
        <v>4302.7450980392159</v>
      </c>
      <c r="U36" s="65">
        <f t="shared" si="20"/>
        <v>4347.4420849420849</v>
      </c>
      <c r="V36" s="1"/>
    </row>
    <row r="37" spans="1:22" ht="14.4">
      <c r="A37" s="1"/>
      <c r="B37" s="1"/>
      <c r="C37" s="12">
        <f t="shared" ref="C37:E37" si="28">STDEV(C22:C36)/AVERAGE(C22:C36)</f>
        <v>1.2421203478290033</v>
      </c>
      <c r="D37" s="12">
        <f t="shared" si="28"/>
        <v>1.303056808722453</v>
      </c>
      <c r="E37" s="12">
        <f t="shared" si="28"/>
        <v>1.3365916087627037</v>
      </c>
      <c r="F37" s="61"/>
      <c r="G37" s="70"/>
      <c r="H37" s="71"/>
      <c r="I37" s="70"/>
      <c r="J37" s="1"/>
      <c r="K37" s="1"/>
      <c r="L37" s="72" t="s">
        <v>37</v>
      </c>
      <c r="M37" s="11">
        <f t="shared" si="7"/>
        <v>0.10942997888810696</v>
      </c>
      <c r="N37" s="11">
        <f t="shared" si="11"/>
        <v>0.12059730563220257</v>
      </c>
      <c r="O37" s="11">
        <f t="shared" si="18"/>
        <v>0.13229042679816358</v>
      </c>
      <c r="P37" s="65">
        <f t="shared" si="8"/>
        <v>8661.5273311897108</v>
      </c>
      <c r="Q37" s="65">
        <f t="shared" si="12"/>
        <v>10151.608344549126</v>
      </c>
      <c r="R37" s="65">
        <f t="shared" si="19"/>
        <v>9364.2802056555265</v>
      </c>
      <c r="S37" s="65">
        <f t="shared" si="9"/>
        <v>5150.544933078394</v>
      </c>
      <c r="T37" s="65">
        <f t="shared" si="13"/>
        <v>5529.7983870967746</v>
      </c>
      <c r="U37" s="65">
        <f t="shared" si="20"/>
        <v>5604.1615384615388</v>
      </c>
      <c r="V37" s="1"/>
    </row>
    <row r="38" spans="1:22" ht="13.2">
      <c r="A38" s="1"/>
      <c r="B38" s="1"/>
      <c r="C38" s="1"/>
      <c r="D38" s="1"/>
      <c r="E38" s="19"/>
      <c r="F38" s="61"/>
      <c r="G38" s="70"/>
      <c r="H38" s="71"/>
      <c r="I38" s="70"/>
      <c r="J38" s="1"/>
      <c r="K38" s="1"/>
      <c r="L38" s="1"/>
      <c r="M38" s="1"/>
      <c r="N38" s="1"/>
      <c r="O38" s="1"/>
      <c r="P38" s="1"/>
      <c r="Q38" s="1">
        <f t="shared" si="12"/>
        <v>0</v>
      </c>
      <c r="R38" s="1"/>
      <c r="S38" s="1"/>
      <c r="T38" s="1"/>
      <c r="U38" s="1"/>
      <c r="V38" s="1"/>
    </row>
    <row r="39" spans="1:22" ht="14.4">
      <c r="A39" s="49" t="s">
        <v>41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8.8">
      <c r="A40" s="55" t="s">
        <v>21</v>
      </c>
      <c r="B40" s="55" t="s">
        <v>2</v>
      </c>
      <c r="C40" s="55" t="s">
        <v>3</v>
      </c>
      <c r="D40" s="55" t="s">
        <v>4</v>
      </c>
      <c r="E40" s="55" t="s">
        <v>5</v>
      </c>
      <c r="F40" s="23" t="s">
        <v>38</v>
      </c>
      <c r="G40" s="23" t="s">
        <v>39</v>
      </c>
      <c r="H40" s="23" t="s">
        <v>18</v>
      </c>
      <c r="I40" s="23" t="s">
        <v>19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3.2">
      <c r="A41" s="21"/>
      <c r="B41" s="73"/>
      <c r="C41" s="73"/>
      <c r="D41" s="73"/>
      <c r="E41" s="73"/>
      <c r="F41" s="61"/>
      <c r="G41" s="70"/>
      <c r="H41" s="71"/>
      <c r="I41" s="7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4">
      <c r="A42" s="58" t="s">
        <v>25</v>
      </c>
      <c r="B42" s="59">
        <v>6161</v>
      </c>
      <c r="C42" s="59">
        <v>7980</v>
      </c>
      <c r="D42" s="59">
        <v>50815985</v>
      </c>
      <c r="E42" s="59">
        <v>26164050</v>
      </c>
      <c r="F42" s="29">
        <f t="shared" ref="F42:F54" si="29">B42/$B$42</f>
        <v>1</v>
      </c>
      <c r="G42" s="43">
        <f t="shared" ref="G42:G54" si="30">D42/B42</f>
        <v>8248.0092517448466</v>
      </c>
      <c r="H42" s="27">
        <f t="shared" ref="H42:I42" si="31">C42/B42</f>
        <v>1.2952442785262133</v>
      </c>
      <c r="I42" s="43">
        <f t="shared" si="31"/>
        <v>6367.917919799499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4">
      <c r="A43" s="58" t="s">
        <v>26</v>
      </c>
      <c r="B43" s="59">
        <v>619</v>
      </c>
      <c r="C43" s="59">
        <v>939</v>
      </c>
      <c r="D43" s="59">
        <v>5396435</v>
      </c>
      <c r="E43" s="59">
        <v>2596110</v>
      </c>
      <c r="F43" s="29">
        <f t="shared" si="29"/>
        <v>0.10047070280798572</v>
      </c>
      <c r="G43" s="43">
        <f t="shared" si="30"/>
        <v>8717.9886914378021</v>
      </c>
      <c r="H43" s="27">
        <f t="shared" ref="H43:I43" si="32">C43/B43</f>
        <v>1.5169628432956381</v>
      </c>
      <c r="I43" s="43">
        <f t="shared" si="32"/>
        <v>5747.0021299254522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4">
      <c r="A44" s="58" t="s">
        <v>27</v>
      </c>
      <c r="B44" s="59">
        <v>546</v>
      </c>
      <c r="C44" s="59">
        <v>855</v>
      </c>
      <c r="D44" s="59">
        <v>4014505</v>
      </c>
      <c r="E44" s="59">
        <v>1990010</v>
      </c>
      <c r="F44" s="29">
        <f t="shared" si="29"/>
        <v>8.8621976951793538E-2</v>
      </c>
      <c r="G44" s="43">
        <f t="shared" si="30"/>
        <v>7352.5732600732599</v>
      </c>
      <c r="H44" s="27">
        <f t="shared" ref="H44:I44" si="33">C44/B44</f>
        <v>1.5659340659340659</v>
      </c>
      <c r="I44" s="43">
        <f t="shared" si="33"/>
        <v>4695.3274853801167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4">
      <c r="A45" s="58" t="s">
        <v>28</v>
      </c>
      <c r="B45" s="59">
        <v>451</v>
      </c>
      <c r="C45" s="59">
        <v>696</v>
      </c>
      <c r="D45" s="59">
        <v>3515930</v>
      </c>
      <c r="E45" s="59">
        <v>1742015</v>
      </c>
      <c r="F45" s="29">
        <f t="shared" si="29"/>
        <v>7.3202402207433862E-2</v>
      </c>
      <c r="G45" s="43">
        <f t="shared" si="30"/>
        <v>7795.8536585365855</v>
      </c>
      <c r="H45" s="27">
        <f t="shared" ref="H45:I45" si="34">C45/B45</f>
        <v>1.5432372505543237</v>
      </c>
      <c r="I45" s="43">
        <f t="shared" si="34"/>
        <v>5051.6235632183907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4">
      <c r="A46" s="58" t="s">
        <v>29</v>
      </c>
      <c r="B46" s="59">
        <v>939</v>
      </c>
      <c r="C46" s="59">
        <v>1579</v>
      </c>
      <c r="D46" s="59">
        <v>8754185</v>
      </c>
      <c r="E46" s="59">
        <v>4264700</v>
      </c>
      <c r="F46" s="29">
        <f t="shared" si="29"/>
        <v>0.15241032299951307</v>
      </c>
      <c r="G46" s="43">
        <f t="shared" si="30"/>
        <v>9322.8807241746545</v>
      </c>
      <c r="H46" s="27">
        <f t="shared" ref="H46:I46" si="35">C46/B46</f>
        <v>1.6815761448349307</v>
      </c>
      <c r="I46" s="43">
        <f t="shared" si="35"/>
        <v>5544.1323622545915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4">
      <c r="A47" s="58" t="s">
        <v>30</v>
      </c>
      <c r="B47" s="59">
        <v>418</v>
      </c>
      <c r="C47" s="59">
        <v>687</v>
      </c>
      <c r="D47" s="59">
        <v>3430020</v>
      </c>
      <c r="E47" s="59">
        <v>1596375</v>
      </c>
      <c r="F47" s="29">
        <f t="shared" si="29"/>
        <v>6.7846128875182599E-2</v>
      </c>
      <c r="G47" s="43">
        <f t="shared" si="30"/>
        <v>8205.78947368421</v>
      </c>
      <c r="H47" s="27">
        <f t="shared" ref="H47:I47" si="36">C47/B47</f>
        <v>1.6435406698564594</v>
      </c>
      <c r="I47" s="43">
        <f t="shared" si="36"/>
        <v>4992.7510917030568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4">
      <c r="A48" s="58" t="s">
        <v>31</v>
      </c>
      <c r="B48" s="59">
        <v>442</v>
      </c>
      <c r="C48" s="59">
        <v>738</v>
      </c>
      <c r="D48" s="59">
        <v>3375460</v>
      </c>
      <c r="E48" s="59">
        <v>1614635</v>
      </c>
      <c r="F48" s="29">
        <f t="shared" si="29"/>
        <v>7.1741600389547147E-2</v>
      </c>
      <c r="G48" s="43">
        <f t="shared" si="30"/>
        <v>7636.7873303167416</v>
      </c>
      <c r="H48" s="27">
        <f t="shared" ref="H48:I48" si="37">C48/B48</f>
        <v>1.6696832579185521</v>
      </c>
      <c r="I48" s="43">
        <f t="shared" si="37"/>
        <v>4573.794037940379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4">
      <c r="A49" s="58" t="s">
        <v>32</v>
      </c>
      <c r="B49" s="59">
        <v>430</v>
      </c>
      <c r="C49" s="59">
        <v>731</v>
      </c>
      <c r="D49" s="59">
        <v>3476385</v>
      </c>
      <c r="E49" s="59">
        <v>1640210</v>
      </c>
      <c r="F49" s="29">
        <f t="shared" si="29"/>
        <v>6.979386463236488E-2</v>
      </c>
      <c r="G49" s="43">
        <f t="shared" si="30"/>
        <v>8084.6162790697672</v>
      </c>
      <c r="H49" s="27">
        <f t="shared" ref="H49:I49" si="38">C49/B49</f>
        <v>1.7</v>
      </c>
      <c r="I49" s="43">
        <f t="shared" si="38"/>
        <v>4755.6566347469225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4">
      <c r="A50" s="58" t="s">
        <v>33</v>
      </c>
      <c r="B50" s="59">
        <v>885</v>
      </c>
      <c r="C50" s="59">
        <v>1542</v>
      </c>
      <c r="D50" s="59">
        <v>8510590</v>
      </c>
      <c r="E50" s="59">
        <v>4095850</v>
      </c>
      <c r="F50" s="29">
        <f t="shared" si="29"/>
        <v>0.14364551209219284</v>
      </c>
      <c r="G50" s="43">
        <f t="shared" si="30"/>
        <v>9616.4858757062138</v>
      </c>
      <c r="H50" s="27">
        <f t="shared" ref="H50:I50" si="39">C50/B50</f>
        <v>1.7423728813559323</v>
      </c>
      <c r="I50" s="43">
        <f t="shared" si="39"/>
        <v>5519.1893644617376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4">
      <c r="A51" s="58" t="s">
        <v>34</v>
      </c>
      <c r="B51" s="59">
        <v>381</v>
      </c>
      <c r="C51" s="59">
        <v>625</v>
      </c>
      <c r="D51" s="59">
        <v>3439535</v>
      </c>
      <c r="E51" s="59">
        <v>1651705</v>
      </c>
      <c r="F51" s="29">
        <f t="shared" si="29"/>
        <v>6.1840610290537251E-2</v>
      </c>
      <c r="G51" s="43">
        <f t="shared" si="30"/>
        <v>9027.6509186351705</v>
      </c>
      <c r="H51" s="27">
        <f t="shared" ref="H51:I51" si="40">C51/B51</f>
        <v>1.6404199475065617</v>
      </c>
      <c r="I51" s="43">
        <f t="shared" si="40"/>
        <v>5503.2560000000003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4">
      <c r="A52" s="58" t="s">
        <v>35</v>
      </c>
      <c r="B52" s="59">
        <v>384</v>
      </c>
      <c r="C52" s="59">
        <v>654</v>
      </c>
      <c r="D52" s="59">
        <v>3467475</v>
      </c>
      <c r="E52" s="59">
        <v>1650495</v>
      </c>
      <c r="F52" s="29">
        <f t="shared" si="29"/>
        <v>6.2327544229832818E-2</v>
      </c>
      <c r="G52" s="43">
        <f t="shared" si="30"/>
        <v>9029.8828125</v>
      </c>
      <c r="H52" s="27">
        <f t="shared" ref="H52:I52" si="41">C52/B52</f>
        <v>1.703125</v>
      </c>
      <c r="I52" s="43">
        <f t="shared" si="41"/>
        <v>5301.9495412844035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4">
      <c r="A53" s="58" t="s">
        <v>36</v>
      </c>
      <c r="B53" s="59">
        <v>351</v>
      </c>
      <c r="C53" s="59">
        <v>561</v>
      </c>
      <c r="D53" s="59">
        <v>2413840</v>
      </c>
      <c r="E53" s="59">
        <v>1158025</v>
      </c>
      <c r="F53" s="29">
        <f t="shared" si="29"/>
        <v>5.6971270897581562E-2</v>
      </c>
      <c r="G53" s="43">
        <f t="shared" si="30"/>
        <v>6877.0370370370374</v>
      </c>
      <c r="H53" s="27">
        <f t="shared" ref="H53:I53" si="42">C53/B53</f>
        <v>1.5982905982905984</v>
      </c>
      <c r="I53" s="43">
        <f t="shared" si="42"/>
        <v>4302.7450980392159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4">
      <c r="A54" s="67" t="s">
        <v>37</v>
      </c>
      <c r="B54" s="68">
        <v>743</v>
      </c>
      <c r="C54" s="68">
        <v>1364</v>
      </c>
      <c r="D54" s="68">
        <v>7542645</v>
      </c>
      <c r="E54" s="68">
        <v>3669875</v>
      </c>
      <c r="F54" s="29">
        <f t="shared" si="29"/>
        <v>0.12059730563220257</v>
      </c>
      <c r="G54" s="43">
        <f t="shared" si="30"/>
        <v>10151.608344549126</v>
      </c>
      <c r="H54" s="27">
        <f t="shared" ref="H54:I54" si="43">C54/B54</f>
        <v>1.835800807537012</v>
      </c>
      <c r="I54" s="43">
        <f t="shared" si="43"/>
        <v>5529.7983870967746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3.2">
      <c r="A55" s="1"/>
      <c r="B55" s="1"/>
      <c r="C55" s="12">
        <f t="shared" ref="C55:E55" si="44">STDEV(C42:C50)/AVERAGE(C42:C50)</f>
        <v>1.3502010953398882</v>
      </c>
      <c r="D55" s="12">
        <f t="shared" si="44"/>
        <v>1.5186146842945647</v>
      </c>
      <c r="E55" s="12">
        <f t="shared" si="44"/>
        <v>1.5707444870348233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3.2">
      <c r="A56" s="1"/>
      <c r="B56" s="1"/>
      <c r="C56" s="1"/>
      <c r="D56" s="1"/>
      <c r="E56" s="19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4">
      <c r="A57" s="49" t="s">
        <v>42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8.8">
      <c r="A58" s="55" t="s">
        <v>21</v>
      </c>
      <c r="B58" s="55" t="s">
        <v>2</v>
      </c>
      <c r="C58" s="55" t="s">
        <v>3</v>
      </c>
      <c r="D58" s="55" t="s">
        <v>4</v>
      </c>
      <c r="E58" s="55" t="s">
        <v>5</v>
      </c>
      <c r="F58" s="23" t="s">
        <v>38</v>
      </c>
      <c r="G58" s="23" t="s">
        <v>39</v>
      </c>
      <c r="H58" s="23" t="s">
        <v>18</v>
      </c>
      <c r="I58" s="23" t="s">
        <v>19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4">
      <c r="A59" s="21"/>
      <c r="B59" s="73"/>
      <c r="C59" s="73"/>
      <c r="D59" s="59">
        <v>0</v>
      </c>
      <c r="E59" s="59">
        <v>0</v>
      </c>
      <c r="F59" s="61"/>
      <c r="G59" s="70"/>
      <c r="H59" s="71"/>
      <c r="I59" s="7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4">
      <c r="A60" s="21"/>
      <c r="B60" s="73"/>
      <c r="C60" s="73"/>
      <c r="D60" s="59">
        <v>0</v>
      </c>
      <c r="E60" s="59">
        <v>0</v>
      </c>
      <c r="F60" s="61"/>
      <c r="G60" s="70"/>
      <c r="H60" s="71"/>
      <c r="I60" s="7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4">
      <c r="A61" s="21"/>
      <c r="B61" s="73"/>
      <c r="C61" s="73"/>
      <c r="D61" s="59">
        <v>0</v>
      </c>
      <c r="E61" s="59">
        <v>0</v>
      </c>
      <c r="F61" s="61"/>
      <c r="G61" s="70"/>
      <c r="H61" s="71"/>
      <c r="I61" s="7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4">
      <c r="A62" s="21"/>
      <c r="B62" s="73"/>
      <c r="C62" s="73"/>
      <c r="D62" s="59">
        <v>0</v>
      </c>
      <c r="E62" s="59">
        <v>0</v>
      </c>
      <c r="F62" s="61"/>
      <c r="G62" s="70"/>
      <c r="H62" s="71"/>
      <c r="I62" s="7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4">
      <c r="A63" s="21"/>
      <c r="B63" s="73"/>
      <c r="C63" s="73"/>
      <c r="D63" s="59">
        <v>0</v>
      </c>
      <c r="E63" s="59">
        <v>0</v>
      </c>
      <c r="F63" s="61"/>
      <c r="G63" s="70"/>
      <c r="H63" s="71"/>
      <c r="I63" s="70"/>
      <c r="J63" s="1"/>
      <c r="K63" s="1"/>
      <c r="L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4">
      <c r="A64" s="58" t="s">
        <v>29</v>
      </c>
      <c r="B64" s="59">
        <v>5881</v>
      </c>
      <c r="C64" s="59">
        <v>7651</v>
      </c>
      <c r="D64" s="59">
        <v>46089890</v>
      </c>
      <c r="E64" s="59">
        <v>22577830</v>
      </c>
      <c r="F64" s="29">
        <f t="shared" ref="F64:F72" si="45">B64/$B$64</f>
        <v>1</v>
      </c>
      <c r="G64" s="43">
        <f t="shared" ref="G64:G72" si="46">D64/B64</f>
        <v>7837.0838292807348</v>
      </c>
      <c r="H64" s="27">
        <f t="shared" ref="H64:I64" si="47">C64/B64</f>
        <v>1.3009692229212719</v>
      </c>
      <c r="I64" s="43">
        <f t="shared" si="47"/>
        <v>6024.0347666971638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4">
      <c r="A65" s="58" t="s">
        <v>30</v>
      </c>
      <c r="B65" s="59">
        <v>690</v>
      </c>
      <c r="C65" s="59">
        <v>1011</v>
      </c>
      <c r="D65" s="59">
        <v>5531845</v>
      </c>
      <c r="E65" s="59">
        <v>2540340</v>
      </c>
      <c r="F65" s="29">
        <f t="shared" si="45"/>
        <v>0.11732698520659751</v>
      </c>
      <c r="G65" s="43">
        <f t="shared" si="46"/>
        <v>8017.166666666667</v>
      </c>
      <c r="H65" s="27">
        <f t="shared" ref="H65:I65" si="48">C65/B65</f>
        <v>1.4652173913043478</v>
      </c>
      <c r="I65" s="43">
        <f t="shared" si="48"/>
        <v>5471.6567754698317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4">
      <c r="A66" s="58" t="s">
        <v>31</v>
      </c>
      <c r="B66" s="59">
        <v>473</v>
      </c>
      <c r="C66" s="59">
        <v>675</v>
      </c>
      <c r="D66" s="59">
        <v>3571370</v>
      </c>
      <c r="E66" s="59">
        <v>1677170</v>
      </c>
      <c r="F66" s="29">
        <f t="shared" si="45"/>
        <v>8.0428498554667577E-2</v>
      </c>
      <c r="G66" s="43">
        <f t="shared" si="46"/>
        <v>7550.4651162790697</v>
      </c>
      <c r="H66" s="27">
        <f t="shared" ref="H66:I66" si="49">C66/B66</f>
        <v>1.427061310782241</v>
      </c>
      <c r="I66" s="43">
        <f t="shared" si="49"/>
        <v>5290.9185185185188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4">
      <c r="A67" s="58" t="s">
        <v>32</v>
      </c>
      <c r="B67" s="59">
        <v>420</v>
      </c>
      <c r="C67" s="59">
        <v>601</v>
      </c>
      <c r="D67" s="59">
        <v>2838000</v>
      </c>
      <c r="E67" s="59">
        <v>1371040</v>
      </c>
      <c r="F67" s="29">
        <f t="shared" si="45"/>
        <v>7.1416425777928921E-2</v>
      </c>
      <c r="G67" s="43">
        <f t="shared" si="46"/>
        <v>6757.1428571428569</v>
      </c>
      <c r="H67" s="27">
        <f t="shared" ref="H67:I67" si="50">C67/B67</f>
        <v>1.430952380952381</v>
      </c>
      <c r="I67" s="43">
        <f t="shared" si="50"/>
        <v>4722.1297836938438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4">
      <c r="A68" s="58" t="s">
        <v>33</v>
      </c>
      <c r="B68" s="59">
        <v>999</v>
      </c>
      <c r="C68" s="59">
        <v>1660</v>
      </c>
      <c r="D68" s="59">
        <v>8927160</v>
      </c>
      <c r="E68" s="59">
        <v>4306665</v>
      </c>
      <c r="F68" s="29">
        <f t="shared" si="45"/>
        <v>0.16986906988607381</v>
      </c>
      <c r="G68" s="43">
        <f t="shared" si="46"/>
        <v>8936.0960960960965</v>
      </c>
      <c r="H68" s="27">
        <f t="shared" ref="H68:I68" si="51">C68/B68</f>
        <v>1.6616616616616617</v>
      </c>
      <c r="I68" s="43">
        <f t="shared" si="51"/>
        <v>5377.8072289156626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4">
      <c r="A69" s="58" t="s">
        <v>34</v>
      </c>
      <c r="B69" s="59">
        <v>387</v>
      </c>
      <c r="C69" s="59">
        <v>562</v>
      </c>
      <c r="D69" s="59">
        <v>3135275</v>
      </c>
      <c r="E69" s="59">
        <v>1509805</v>
      </c>
      <c r="F69" s="29">
        <f t="shared" si="45"/>
        <v>6.5805135181091656E-2</v>
      </c>
      <c r="G69" s="43">
        <f t="shared" si="46"/>
        <v>8101.485788113695</v>
      </c>
      <c r="H69" s="27">
        <f t="shared" ref="H69:I69" si="52">C69/B69</f>
        <v>1.4521963824289406</v>
      </c>
      <c r="I69" s="43">
        <f t="shared" si="52"/>
        <v>5578.7811387900356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4">
      <c r="A70" s="58" t="s">
        <v>35</v>
      </c>
      <c r="B70" s="59">
        <v>343</v>
      </c>
      <c r="C70" s="59">
        <v>522</v>
      </c>
      <c r="D70" s="59">
        <v>2546775</v>
      </c>
      <c r="E70" s="59">
        <v>1241075</v>
      </c>
      <c r="F70" s="29">
        <f t="shared" si="45"/>
        <v>5.8323414385308622E-2</v>
      </c>
      <c r="G70" s="43">
        <f t="shared" si="46"/>
        <v>7425</v>
      </c>
      <c r="H70" s="27">
        <f t="shared" ref="H70:I70" si="53">C70/B70</f>
        <v>1.5218658892128281</v>
      </c>
      <c r="I70" s="43">
        <f t="shared" si="53"/>
        <v>4878.8793103448279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4">
      <c r="A71" s="58" t="s">
        <v>36</v>
      </c>
      <c r="B71" s="59">
        <v>356</v>
      </c>
      <c r="C71" s="59">
        <v>518</v>
      </c>
      <c r="D71" s="59">
        <v>2251975</v>
      </c>
      <c r="E71" s="59">
        <v>1074480</v>
      </c>
      <c r="F71" s="29">
        <f t="shared" si="45"/>
        <v>6.0533922802244518E-2</v>
      </c>
      <c r="G71" s="43">
        <f t="shared" si="46"/>
        <v>6325.7724719101125</v>
      </c>
      <c r="H71" s="27">
        <f t="shared" ref="H71:I71" si="54">C71/B71</f>
        <v>1.4550561797752808</v>
      </c>
      <c r="I71" s="43">
        <f t="shared" si="54"/>
        <v>4347.4420849420849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4">
      <c r="A72" s="67" t="s">
        <v>37</v>
      </c>
      <c r="B72" s="68">
        <v>778</v>
      </c>
      <c r="C72" s="68">
        <v>1300</v>
      </c>
      <c r="D72" s="68">
        <v>7285410</v>
      </c>
      <c r="E72" s="68">
        <v>3469510</v>
      </c>
      <c r="F72" s="29">
        <f t="shared" si="45"/>
        <v>0.13229042679816358</v>
      </c>
      <c r="G72" s="43">
        <f t="shared" si="46"/>
        <v>9364.2802056555265</v>
      </c>
      <c r="H72" s="27">
        <f t="shared" ref="H72:I72" si="55">C72/B72</f>
        <v>1.6709511568123394</v>
      </c>
      <c r="I72" s="43">
        <f t="shared" si="55"/>
        <v>5604.1615384615388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3.2">
      <c r="A73" s="1"/>
      <c r="B73" s="1"/>
      <c r="C73" s="12">
        <f t="shared" ref="C73:E73" si="56">STDEV(C58:C72)/AVERAGE(C58:C72)</f>
        <v>1.4275505992560771</v>
      </c>
      <c r="D73" s="12">
        <f t="shared" si="56"/>
        <v>2.0309159162867818</v>
      </c>
      <c r="E73" s="12">
        <f t="shared" si="56"/>
        <v>2.0562240469385347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3.2">
      <c r="A74" s="1"/>
      <c r="B74" s="1"/>
      <c r="C74" s="1"/>
      <c r="D74" s="1"/>
      <c r="E74" s="19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3.2">
      <c r="A75" s="1"/>
      <c r="B75" s="1"/>
      <c r="C75" s="1"/>
      <c r="D75" s="1"/>
      <c r="E75" s="19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3.2">
      <c r="A76" s="1"/>
      <c r="B76" s="1"/>
      <c r="C76" s="1"/>
      <c r="D76" s="1"/>
      <c r="E76" s="1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3.2">
      <c r="A77" s="1"/>
      <c r="B77" s="1"/>
      <c r="C77" s="1"/>
      <c r="D77" s="1"/>
      <c r="E77" s="1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3.2">
      <c r="A78" s="1"/>
      <c r="B78" s="1"/>
      <c r="C78" s="1"/>
      <c r="D78" s="1"/>
      <c r="E78" s="1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3.2">
      <c r="A79" s="1"/>
      <c r="B79" s="1"/>
      <c r="C79" s="1"/>
      <c r="D79" s="1"/>
      <c r="E79" s="19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3.2">
      <c r="A80" s="1"/>
      <c r="B80" s="1"/>
      <c r="C80" s="1"/>
      <c r="D80" s="1"/>
      <c r="E80" s="1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3.2">
      <c r="A81" s="1"/>
      <c r="B81" s="1"/>
      <c r="C81" s="1"/>
      <c r="D81" s="1"/>
      <c r="E81" s="19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3.2">
      <c r="A82" s="1"/>
      <c r="B82" s="1"/>
      <c r="C82" s="1"/>
      <c r="D82" s="1"/>
      <c r="E82" s="19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3.2">
      <c r="A83" s="1"/>
      <c r="B83" s="1"/>
      <c r="C83" s="1"/>
      <c r="D83" s="1"/>
      <c r="E83" s="19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3.2">
      <c r="A84" s="1"/>
      <c r="B84" s="1"/>
      <c r="C84" s="1"/>
      <c r="D84" s="1"/>
      <c r="E84" s="19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3.2">
      <c r="A85" s="1"/>
      <c r="B85" s="1"/>
      <c r="C85" s="1"/>
      <c r="D85" s="1"/>
      <c r="E85" s="19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3.2">
      <c r="A86" s="1"/>
      <c r="B86" s="1"/>
      <c r="C86" s="1"/>
      <c r="D86" s="1"/>
      <c r="E86" s="1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3.2">
      <c r="A87" s="1"/>
      <c r="B87" s="1"/>
      <c r="C87" s="1"/>
      <c r="D87" s="1"/>
      <c r="E87" s="1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3.2">
      <c r="A88" s="1"/>
      <c r="B88" s="1"/>
      <c r="C88" s="1"/>
      <c r="D88" s="1"/>
      <c r="E88" s="19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3.2">
      <c r="A89" s="1"/>
      <c r="B89" s="1"/>
      <c r="C89" s="1"/>
      <c r="D89" s="1"/>
      <c r="E89" s="19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3.2">
      <c r="A90" s="1"/>
      <c r="B90" s="1"/>
      <c r="C90" s="1"/>
      <c r="D90" s="1"/>
      <c r="E90" s="1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3.2">
      <c r="A91" s="1"/>
      <c r="B91" s="1"/>
      <c r="C91" s="1"/>
      <c r="D91" s="1"/>
      <c r="E91" s="19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3.2">
      <c r="A92" s="1"/>
      <c r="B92" s="1"/>
      <c r="C92" s="1"/>
      <c r="D92" s="1"/>
      <c r="E92" s="19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3.2">
      <c r="A93" s="1"/>
      <c r="B93" s="1"/>
      <c r="C93" s="1"/>
      <c r="D93" s="1"/>
      <c r="E93" s="19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3.2">
      <c r="A94" s="1"/>
      <c r="B94" s="1"/>
      <c r="C94" s="1"/>
      <c r="D94" s="1"/>
      <c r="E94" s="1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3.2">
      <c r="A95" s="1"/>
      <c r="B95" s="1"/>
      <c r="C95" s="1"/>
      <c r="D95" s="1"/>
      <c r="E95" s="19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3.2">
      <c r="A96" s="1"/>
      <c r="B96" s="1"/>
      <c r="C96" s="1"/>
      <c r="D96" s="1"/>
      <c r="E96" s="19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3.2">
      <c r="A97" s="1"/>
      <c r="B97" s="1"/>
      <c r="C97" s="1"/>
      <c r="D97" s="1"/>
      <c r="E97" s="19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3.2">
      <c r="A98" s="1"/>
      <c r="B98" s="1"/>
      <c r="C98" s="1"/>
      <c r="D98" s="1"/>
      <c r="E98" s="1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3.2">
      <c r="A99" s="1"/>
      <c r="B99" s="1"/>
      <c r="C99" s="1"/>
      <c r="D99" s="1"/>
      <c r="E99" s="19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3.2">
      <c r="A100" s="1"/>
      <c r="B100" s="1"/>
      <c r="C100" s="1"/>
      <c r="D100" s="1"/>
      <c r="E100" s="19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33"/>
  <sheetViews>
    <sheetView workbookViewId="0"/>
  </sheetViews>
  <sheetFormatPr defaultColWidth="12.6640625" defaultRowHeight="15.75" customHeight="1"/>
  <sheetData>
    <row r="1" spans="1:11" ht="15.75" customHeight="1">
      <c r="A1" s="74" t="s">
        <v>44</v>
      </c>
      <c r="B1" s="1"/>
      <c r="C1" s="1"/>
      <c r="D1" s="1"/>
      <c r="E1" s="1"/>
      <c r="G1" s="1" t="s">
        <v>11</v>
      </c>
      <c r="H1" s="75">
        <f t="shared" ref="H1:K1" si="0">SUM(B29:B33)</f>
        <v>36650</v>
      </c>
      <c r="I1" s="75">
        <f t="shared" si="0"/>
        <v>40150</v>
      </c>
      <c r="J1" s="75">
        <f t="shared" si="0"/>
        <v>51404</v>
      </c>
      <c r="K1" s="75">
        <f t="shared" si="0"/>
        <v>61260</v>
      </c>
    </row>
    <row r="2" spans="1:11">
      <c r="A2" s="1"/>
      <c r="B2" s="1"/>
      <c r="C2" s="1"/>
      <c r="D2" s="1"/>
      <c r="E2" s="1"/>
      <c r="G2" s="1"/>
      <c r="H2" s="1"/>
      <c r="I2" s="1"/>
      <c r="J2" s="1"/>
      <c r="K2" s="1"/>
    </row>
    <row r="3" spans="1:11" ht="15.75" customHeight="1">
      <c r="A3" s="76" t="s">
        <v>4</v>
      </c>
      <c r="B3" s="37"/>
      <c r="C3" s="37"/>
      <c r="D3" s="37"/>
      <c r="E3" s="37"/>
      <c r="G3" s="1" t="s">
        <v>45</v>
      </c>
      <c r="H3" s="1"/>
      <c r="I3" s="1"/>
      <c r="J3" s="1"/>
      <c r="K3" s="1"/>
    </row>
    <row r="4" spans="1:11" ht="15.75" customHeight="1">
      <c r="A4" s="37"/>
      <c r="B4" s="77">
        <v>2021</v>
      </c>
      <c r="C4" s="77">
        <v>2022</v>
      </c>
      <c r="D4" s="77">
        <v>2023</v>
      </c>
      <c r="E4" s="77">
        <v>2024</v>
      </c>
      <c r="G4" s="1"/>
      <c r="H4" s="78">
        <v>2021</v>
      </c>
      <c r="I4" s="78">
        <v>2022</v>
      </c>
      <c r="J4" s="78">
        <v>2023</v>
      </c>
      <c r="K4" s="78">
        <v>2024</v>
      </c>
    </row>
    <row r="5" spans="1:11" ht="15.75" customHeight="1">
      <c r="A5" s="8" t="s">
        <v>46</v>
      </c>
      <c r="B5" s="9">
        <v>75539904</v>
      </c>
      <c r="C5" s="9">
        <v>61713305.500000007</v>
      </c>
      <c r="D5" s="9">
        <v>57535362.5</v>
      </c>
      <c r="E5" s="9">
        <v>55477922.5</v>
      </c>
      <c r="G5" s="1" t="s">
        <v>46</v>
      </c>
      <c r="H5" s="78">
        <f t="shared" ref="H5:K5" si="1">IF(B21&gt;0,B5/B21,"-")</f>
        <v>13135.090245174752</v>
      </c>
      <c r="I5" s="78">
        <f t="shared" si="1"/>
        <v>13311.757010353755</v>
      </c>
      <c r="J5" s="78">
        <f t="shared" si="1"/>
        <v>13592.100755965037</v>
      </c>
      <c r="K5" s="78">
        <f t="shared" si="1"/>
        <v>14148.921831165519</v>
      </c>
    </row>
    <row r="6" spans="1:11" ht="15.75" customHeight="1">
      <c r="A6" s="8">
        <v>2021</v>
      </c>
      <c r="B6" s="9">
        <v>131869556.49999999</v>
      </c>
      <c r="C6" s="9">
        <v>52597105</v>
      </c>
      <c r="D6" s="9">
        <v>45025838</v>
      </c>
      <c r="E6" s="9">
        <v>41006845</v>
      </c>
      <c r="G6" s="78">
        <v>2021</v>
      </c>
      <c r="H6" s="78">
        <f t="shared" ref="H6:K6" si="2">IF(B22&gt;0,B6/B22,"-")</f>
        <v>8841.4050620181024</v>
      </c>
      <c r="I6" s="78">
        <f t="shared" si="2"/>
        <v>12806.697102507913</v>
      </c>
      <c r="J6" s="78">
        <f t="shared" si="2"/>
        <v>12897.690633056431</v>
      </c>
      <c r="K6" s="78">
        <f t="shared" si="2"/>
        <v>13335.559349593495</v>
      </c>
    </row>
    <row r="7" spans="1:11" ht="15.75" customHeight="1">
      <c r="A7" s="8">
        <v>2022</v>
      </c>
      <c r="B7" s="9">
        <v>0</v>
      </c>
      <c r="C7" s="9">
        <v>106151952.5</v>
      </c>
      <c r="D7" s="9">
        <v>40414088</v>
      </c>
      <c r="E7" s="9">
        <v>31974173</v>
      </c>
      <c r="G7" s="78">
        <v>2022</v>
      </c>
      <c r="H7" s="1" t="str">
        <f t="shared" ref="H7:K7" si="3">IF(B23&gt;0,B7/B23,"-")</f>
        <v>-</v>
      </c>
      <c r="I7" s="78">
        <f t="shared" si="3"/>
        <v>8345.2792845911954</v>
      </c>
      <c r="J7" s="78">
        <f t="shared" si="3"/>
        <v>11925.077604012984</v>
      </c>
      <c r="K7" s="78">
        <f t="shared" si="3"/>
        <v>11904.010796723753</v>
      </c>
    </row>
    <row r="8" spans="1:11" ht="15.75" customHeight="1">
      <c r="A8" s="8">
        <v>2023</v>
      </c>
      <c r="B8" s="9">
        <v>0</v>
      </c>
      <c r="C8" s="9">
        <v>0</v>
      </c>
      <c r="D8" s="9">
        <v>123174633.99999999</v>
      </c>
      <c r="E8" s="9">
        <v>44414436</v>
      </c>
      <c r="G8" s="78">
        <v>2023</v>
      </c>
      <c r="H8" s="1" t="str">
        <f t="shared" ref="H8:K8" si="4">IF(B24&gt;0,B8/B24,"-")</f>
        <v>-</v>
      </c>
      <c r="I8" s="1" t="str">
        <f t="shared" si="4"/>
        <v>-</v>
      </c>
      <c r="J8" s="78">
        <f t="shared" si="4"/>
        <v>8121.7614400632983</v>
      </c>
      <c r="K8" s="78">
        <f t="shared" si="4"/>
        <v>11691.086075282969</v>
      </c>
    </row>
    <row r="9" spans="1:11" ht="15.75" customHeight="1">
      <c r="A9" s="8">
        <v>2024</v>
      </c>
      <c r="B9" s="9">
        <v>0</v>
      </c>
      <c r="C9" s="9">
        <v>0</v>
      </c>
      <c r="D9" s="9">
        <v>0</v>
      </c>
      <c r="E9" s="9">
        <v>152727327.5</v>
      </c>
      <c r="G9" s="78">
        <v>2024</v>
      </c>
      <c r="H9" s="1" t="str">
        <f t="shared" ref="H9:K9" si="5">IF(B25&gt;0,B9/B25,"-")</f>
        <v>-</v>
      </c>
      <c r="I9" s="1" t="str">
        <f t="shared" si="5"/>
        <v>-</v>
      </c>
      <c r="J9" s="1" t="str">
        <f t="shared" si="5"/>
        <v>-</v>
      </c>
      <c r="K9" s="78">
        <f t="shared" si="5"/>
        <v>8338.4651397685084</v>
      </c>
    </row>
    <row r="10" spans="1:11">
      <c r="A10" s="37"/>
      <c r="B10" s="37"/>
      <c r="C10" s="37"/>
      <c r="D10" s="37"/>
      <c r="E10" s="37"/>
      <c r="G10" s="1" t="s">
        <v>11</v>
      </c>
      <c r="H10" s="78" t="str">
        <f t="shared" ref="H10:K10" si="6">IF(B26&gt;0,B10/B26,"-")</f>
        <v>-</v>
      </c>
      <c r="I10" s="78" t="str">
        <f t="shared" si="6"/>
        <v>-</v>
      </c>
      <c r="J10" s="78" t="str">
        <f t="shared" si="6"/>
        <v>-</v>
      </c>
      <c r="K10" s="78" t="str">
        <f t="shared" si="6"/>
        <v>-</v>
      </c>
    </row>
    <row r="11" spans="1:11" ht="15.75" customHeight="1">
      <c r="A11" s="76" t="s">
        <v>5</v>
      </c>
      <c r="B11" s="37"/>
      <c r="C11" s="37"/>
      <c r="D11" s="37"/>
      <c r="E11" s="37"/>
      <c r="G11" s="1"/>
      <c r="H11" s="1"/>
      <c r="I11" s="1"/>
      <c r="J11" s="1"/>
      <c r="K11" s="1"/>
    </row>
    <row r="12" spans="1:11" ht="15.75" customHeight="1">
      <c r="A12" s="37"/>
      <c r="B12" s="77">
        <v>2021</v>
      </c>
      <c r="C12" s="77">
        <v>2022</v>
      </c>
      <c r="D12" s="77">
        <v>2023</v>
      </c>
      <c r="E12" s="77">
        <v>2024</v>
      </c>
      <c r="G12" s="1" t="s">
        <v>47</v>
      </c>
      <c r="H12" s="1"/>
      <c r="I12" s="1"/>
      <c r="J12" s="1"/>
      <c r="K12" s="1"/>
    </row>
    <row r="13" spans="1:11" ht="15.75" customHeight="1">
      <c r="A13" s="8" t="s">
        <v>46</v>
      </c>
      <c r="B13" s="9">
        <v>37487741.5</v>
      </c>
      <c r="C13" s="9">
        <v>30335338</v>
      </c>
      <c r="D13" s="9">
        <v>27485474.5</v>
      </c>
      <c r="E13" s="9">
        <v>26831497</v>
      </c>
      <c r="G13" s="1"/>
      <c r="H13" s="78">
        <v>2021</v>
      </c>
      <c r="I13" s="78">
        <v>2022</v>
      </c>
      <c r="J13" s="78">
        <v>2023</v>
      </c>
      <c r="K13" s="78">
        <v>2024</v>
      </c>
    </row>
    <row r="14" spans="1:11" ht="15.75" customHeight="1">
      <c r="A14" s="8">
        <v>2021</v>
      </c>
      <c r="B14" s="9">
        <v>66061534</v>
      </c>
      <c r="C14" s="9">
        <v>25603149</v>
      </c>
      <c r="D14" s="9">
        <v>21266118.5</v>
      </c>
      <c r="E14" s="9">
        <v>19554051</v>
      </c>
      <c r="G14" s="1" t="s">
        <v>46</v>
      </c>
      <c r="H14" s="78">
        <f t="shared" ref="H14:K14" si="7">IF(B21&gt;0,B13/B21,"-")</f>
        <v>6518.4735698139457</v>
      </c>
      <c r="I14" s="78">
        <f t="shared" si="7"/>
        <v>6543.4292493528901</v>
      </c>
      <c r="J14" s="78">
        <f t="shared" si="7"/>
        <v>6493.1430427592722</v>
      </c>
      <c r="K14" s="78">
        <f t="shared" si="7"/>
        <v>6843.0239734761544</v>
      </c>
    </row>
    <row r="15" spans="1:11" ht="15.75" customHeight="1">
      <c r="A15" s="8">
        <v>2022</v>
      </c>
      <c r="B15" s="9">
        <v>0</v>
      </c>
      <c r="C15" s="9">
        <v>51967833.5</v>
      </c>
      <c r="D15" s="9">
        <v>19015788</v>
      </c>
      <c r="E15" s="9">
        <v>15258798.5</v>
      </c>
      <c r="G15" s="78">
        <v>2021</v>
      </c>
      <c r="H15" s="78">
        <f t="shared" ref="H15:K15" si="8">IF(B22&gt;0,B14/B22,"-")</f>
        <v>4429.2010727455581</v>
      </c>
      <c r="I15" s="78">
        <f t="shared" si="8"/>
        <v>6234.0270270270266</v>
      </c>
      <c r="J15" s="78">
        <f t="shared" si="8"/>
        <v>6091.6982240045836</v>
      </c>
      <c r="K15" s="78">
        <f t="shared" si="8"/>
        <v>6359.0409756097561</v>
      </c>
    </row>
    <row r="16" spans="1:11" ht="15.75" customHeight="1">
      <c r="A16" s="8">
        <v>2023</v>
      </c>
      <c r="B16" s="9">
        <v>0</v>
      </c>
      <c r="C16" s="9">
        <v>0</v>
      </c>
      <c r="D16" s="9">
        <v>59071749</v>
      </c>
      <c r="E16" s="9">
        <v>20970295.5</v>
      </c>
      <c r="G16" s="78">
        <v>2022</v>
      </c>
      <c r="H16" s="1" t="str">
        <f t="shared" ref="H16:K16" si="9">IF(B23&gt;0,B15/B23,"-")</f>
        <v>-</v>
      </c>
      <c r="I16" s="78">
        <f t="shared" si="9"/>
        <v>4085.521501572327</v>
      </c>
      <c r="J16" s="78">
        <f t="shared" si="9"/>
        <v>5611.0321628799056</v>
      </c>
      <c r="K16" s="78">
        <f t="shared" si="9"/>
        <v>5680.8631794489947</v>
      </c>
    </row>
    <row r="17" spans="1:11" ht="15.75" customHeight="1">
      <c r="A17" s="8">
        <v>2024</v>
      </c>
      <c r="B17" s="9">
        <v>0</v>
      </c>
      <c r="C17" s="9">
        <v>0</v>
      </c>
      <c r="D17" s="9">
        <v>0</v>
      </c>
      <c r="E17" s="9">
        <v>73401526</v>
      </c>
      <c r="G17" s="78">
        <v>2023</v>
      </c>
      <c r="H17" s="1" t="str">
        <f t="shared" ref="H17:K17" si="10">IF(B24&gt;0,B16/B24,"-")</f>
        <v>-</v>
      </c>
      <c r="I17" s="1" t="str">
        <f t="shared" si="10"/>
        <v>-</v>
      </c>
      <c r="J17" s="78">
        <f t="shared" si="10"/>
        <v>3895.0118027166031</v>
      </c>
      <c r="K17" s="78">
        <f t="shared" si="10"/>
        <v>5519.9514345880498</v>
      </c>
    </row>
    <row r="18" spans="1:11">
      <c r="A18" s="37"/>
      <c r="B18" s="37"/>
      <c r="C18" s="37"/>
      <c r="D18" s="37"/>
      <c r="E18" s="37"/>
      <c r="G18" s="78">
        <v>2024</v>
      </c>
      <c r="H18" s="1" t="str">
        <f t="shared" ref="H18:K18" si="11">IF(B25&gt;0,B17/B25,"-")</f>
        <v>-</v>
      </c>
      <c r="I18" s="1" t="str">
        <f t="shared" si="11"/>
        <v>-</v>
      </c>
      <c r="J18" s="1" t="str">
        <f t="shared" si="11"/>
        <v>-</v>
      </c>
      <c r="K18" s="78">
        <f t="shared" si="11"/>
        <v>4007.5085171434812</v>
      </c>
    </row>
    <row r="19" spans="1:11" ht="15.75" customHeight="1">
      <c r="A19" s="76" t="s">
        <v>2</v>
      </c>
      <c r="B19" s="37"/>
      <c r="C19" s="37"/>
      <c r="D19" s="37"/>
      <c r="E19" s="37"/>
      <c r="G19" s="1" t="s">
        <v>11</v>
      </c>
      <c r="H19" s="78" t="str">
        <f t="shared" ref="H19:K19" si="12">IF(B26&gt;0,B18/B26,"-")</f>
        <v>-</v>
      </c>
      <c r="I19" s="78" t="str">
        <f t="shared" si="12"/>
        <v>-</v>
      </c>
      <c r="J19" s="78" t="str">
        <f t="shared" si="12"/>
        <v>-</v>
      </c>
      <c r="K19" s="78" t="str">
        <f t="shared" si="12"/>
        <v>-</v>
      </c>
    </row>
    <row r="20" spans="1:11" ht="15.75" customHeight="1">
      <c r="A20" s="37"/>
      <c r="B20" s="77">
        <v>2021</v>
      </c>
      <c r="C20" s="77">
        <v>2022</v>
      </c>
      <c r="D20" s="77">
        <v>2023</v>
      </c>
      <c r="E20" s="77">
        <v>2024</v>
      </c>
    </row>
    <row r="21" spans="1:11" ht="15.75" customHeight="1">
      <c r="A21" s="8" t="s">
        <v>46</v>
      </c>
      <c r="B21" s="9">
        <v>5751</v>
      </c>
      <c r="C21" s="9">
        <v>4636</v>
      </c>
      <c r="D21" s="9">
        <v>4233</v>
      </c>
      <c r="E21" s="9">
        <v>3921</v>
      </c>
    </row>
    <row r="22" spans="1:11" ht="15.75" customHeight="1">
      <c r="A22" s="8">
        <v>2021</v>
      </c>
      <c r="B22" s="9">
        <v>14915</v>
      </c>
      <c r="C22" s="9">
        <v>4107</v>
      </c>
      <c r="D22" s="9">
        <v>3491</v>
      </c>
      <c r="E22" s="9">
        <v>3075</v>
      </c>
    </row>
    <row r="23" spans="1:11" ht="15.75" customHeight="1">
      <c r="A23" s="8">
        <v>2022</v>
      </c>
      <c r="B23" s="52"/>
      <c r="C23" s="9">
        <v>12720</v>
      </c>
      <c r="D23" s="9">
        <v>3389</v>
      </c>
      <c r="E23" s="9">
        <v>2686</v>
      </c>
    </row>
    <row r="24" spans="1:11" ht="15.75" customHeight="1">
      <c r="A24" s="8">
        <v>2023</v>
      </c>
      <c r="B24" s="52"/>
      <c r="C24" s="52"/>
      <c r="D24" s="9">
        <v>15166</v>
      </c>
      <c r="E24" s="9">
        <v>3799</v>
      </c>
    </row>
    <row r="25" spans="1:11" ht="15.75" customHeight="1">
      <c r="A25" s="8">
        <v>2024</v>
      </c>
      <c r="B25" s="52"/>
      <c r="C25" s="52"/>
      <c r="D25" s="52"/>
      <c r="E25" s="9">
        <v>18316</v>
      </c>
    </row>
    <row r="26" spans="1:11">
      <c r="A26" s="37"/>
      <c r="B26" s="37"/>
      <c r="C26" s="37"/>
      <c r="D26" s="37"/>
      <c r="E26" s="37"/>
    </row>
    <row r="27" spans="1:11" ht="14.4">
      <c r="A27" s="76" t="s">
        <v>3</v>
      </c>
      <c r="B27" s="37"/>
      <c r="C27" s="37"/>
      <c r="D27" s="37"/>
      <c r="E27" s="37"/>
    </row>
    <row r="28" spans="1:11" ht="14.4">
      <c r="A28" s="37"/>
      <c r="B28" s="77">
        <v>2021</v>
      </c>
      <c r="C28" s="77">
        <v>2022</v>
      </c>
      <c r="D28" s="77">
        <v>2023</v>
      </c>
      <c r="E28" s="77">
        <v>2024</v>
      </c>
    </row>
    <row r="29" spans="1:11" ht="14.4">
      <c r="A29" s="8" t="s">
        <v>46</v>
      </c>
      <c r="B29" s="9">
        <v>13739</v>
      </c>
      <c r="C29" s="9">
        <v>11475</v>
      </c>
      <c r="D29" s="9">
        <v>11331</v>
      </c>
      <c r="E29" s="9">
        <v>10581</v>
      </c>
    </row>
    <row r="30" spans="1:11" ht="14.4">
      <c r="A30" s="8">
        <v>2021</v>
      </c>
      <c r="B30" s="9">
        <v>22911</v>
      </c>
      <c r="C30" s="9">
        <v>10035</v>
      </c>
      <c r="D30" s="9">
        <v>9346</v>
      </c>
      <c r="E30" s="9">
        <v>8197</v>
      </c>
    </row>
    <row r="31" spans="1:11" ht="14.4">
      <c r="A31" s="8">
        <v>2022</v>
      </c>
      <c r="B31" s="52"/>
      <c r="C31" s="9">
        <v>18640</v>
      </c>
      <c r="D31" s="9">
        <v>7992</v>
      </c>
      <c r="E31" s="9">
        <v>6336</v>
      </c>
    </row>
    <row r="32" spans="1:11" ht="14.4">
      <c r="A32" s="8">
        <v>2023</v>
      </c>
      <c r="B32" s="52"/>
      <c r="C32" s="52"/>
      <c r="D32" s="9">
        <v>22735</v>
      </c>
      <c r="E32" s="9">
        <v>9002</v>
      </c>
    </row>
    <row r="33" spans="1:5" ht="14.4">
      <c r="A33" s="8">
        <v>2024</v>
      </c>
      <c r="B33" s="52"/>
      <c r="C33" s="52"/>
      <c r="D33" s="52"/>
      <c r="E33" s="9">
        <v>27144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16">
      <c r="A1" s="1" t="s">
        <v>48</v>
      </c>
      <c r="B1" s="1" t="s">
        <v>49</v>
      </c>
      <c r="C1" s="1"/>
      <c r="D1" s="1"/>
      <c r="K1" s="106" t="s">
        <v>49</v>
      </c>
      <c r="L1" s="107" t="s">
        <v>50</v>
      </c>
      <c r="N1" s="108"/>
      <c r="O1" s="106" t="s">
        <v>244</v>
      </c>
      <c r="P1" s="120"/>
    </row>
    <row r="2" spans="1:16">
      <c r="A2" s="1" t="s">
        <v>51</v>
      </c>
      <c r="B2" s="1">
        <v>156</v>
      </c>
      <c r="C2" s="1"/>
      <c r="D2" s="1"/>
      <c r="K2" s="108" t="s">
        <v>245</v>
      </c>
      <c r="L2" s="109"/>
      <c r="N2" s="106" t="s">
        <v>49</v>
      </c>
      <c r="O2" s="108" t="s">
        <v>50</v>
      </c>
      <c r="P2" s="132" t="s">
        <v>50</v>
      </c>
    </row>
    <row r="3" spans="1:16">
      <c r="A3" s="1" t="s">
        <v>53</v>
      </c>
      <c r="B3" s="1">
        <v>145</v>
      </c>
      <c r="C3" s="1"/>
      <c r="D3" s="1"/>
      <c r="K3" s="110" t="s">
        <v>212</v>
      </c>
      <c r="L3" s="111">
        <v>8</v>
      </c>
      <c r="N3" s="108" t="s">
        <v>245</v>
      </c>
      <c r="O3" s="124"/>
      <c r="P3" s="133">
        <v>0</v>
      </c>
    </row>
    <row r="4" spans="1:16">
      <c r="A4" s="1" t="s">
        <v>55</v>
      </c>
      <c r="B4" s="1">
        <v>187</v>
      </c>
      <c r="C4" s="1"/>
      <c r="D4" s="1"/>
      <c r="K4" s="110" t="s">
        <v>213</v>
      </c>
      <c r="L4" s="111">
        <v>15</v>
      </c>
      <c r="N4" s="110" t="s">
        <v>212</v>
      </c>
      <c r="O4" s="126">
        <v>8</v>
      </c>
      <c r="P4" s="134">
        <v>0.1951219512195122</v>
      </c>
    </row>
    <row r="5" spans="1:16">
      <c r="A5" s="1" t="s">
        <v>57</v>
      </c>
      <c r="B5" s="1">
        <v>135</v>
      </c>
      <c r="K5" s="110" t="s">
        <v>214</v>
      </c>
      <c r="L5" s="111">
        <v>9</v>
      </c>
      <c r="N5" s="110" t="s">
        <v>213</v>
      </c>
      <c r="O5" s="126">
        <v>15</v>
      </c>
      <c r="P5" s="134">
        <v>0.36585365853658536</v>
      </c>
    </row>
    <row r="6" spans="1:16">
      <c r="A6" s="1" t="s">
        <v>59</v>
      </c>
      <c r="B6" s="1">
        <v>151</v>
      </c>
      <c r="K6" s="110" t="s">
        <v>215</v>
      </c>
      <c r="L6" s="111">
        <v>5</v>
      </c>
      <c r="N6" s="110" t="s">
        <v>214</v>
      </c>
      <c r="O6" s="126">
        <v>9</v>
      </c>
      <c r="P6" s="134">
        <v>0.21951219512195122</v>
      </c>
    </row>
    <row r="7" spans="1:16">
      <c r="A7" s="1" t="s">
        <v>61</v>
      </c>
      <c r="B7" s="1">
        <v>136</v>
      </c>
      <c r="K7" s="110" t="s">
        <v>216</v>
      </c>
      <c r="L7" s="111">
        <v>3</v>
      </c>
      <c r="N7" s="110" t="s">
        <v>215</v>
      </c>
      <c r="O7" s="126">
        <v>5</v>
      </c>
      <c r="P7" s="134">
        <v>0.12195121951219512</v>
      </c>
    </row>
    <row r="8" spans="1:16">
      <c r="A8" s="1" t="s">
        <v>62</v>
      </c>
      <c r="B8" s="1">
        <v>141</v>
      </c>
      <c r="K8" s="110" t="s">
        <v>217</v>
      </c>
      <c r="L8" s="111">
        <v>1</v>
      </c>
      <c r="N8" s="110" t="s">
        <v>216</v>
      </c>
      <c r="O8" s="126">
        <v>3</v>
      </c>
      <c r="P8" s="134">
        <v>7.3170731707317069E-2</v>
      </c>
    </row>
    <row r="9" spans="1:16">
      <c r="A9" s="1" t="s">
        <v>64</v>
      </c>
      <c r="B9" s="1">
        <v>167</v>
      </c>
      <c r="K9" s="112" t="s">
        <v>63</v>
      </c>
      <c r="L9" s="113">
        <v>41</v>
      </c>
      <c r="N9" s="110" t="s">
        <v>217</v>
      </c>
      <c r="O9" s="126">
        <v>1</v>
      </c>
      <c r="P9" s="134">
        <v>2.4390243902439025E-2</v>
      </c>
    </row>
    <row r="10" spans="1:16">
      <c r="A10" s="1" t="s">
        <v>65</v>
      </c>
      <c r="B10" s="1">
        <v>221</v>
      </c>
      <c r="N10" s="112" t="s">
        <v>63</v>
      </c>
      <c r="O10" s="128">
        <v>41</v>
      </c>
      <c r="P10" s="135">
        <v>1</v>
      </c>
    </row>
    <row r="11" spans="1:16">
      <c r="A11" s="1" t="s">
        <v>66</v>
      </c>
      <c r="B11" s="1">
        <v>276</v>
      </c>
    </row>
    <row r="12" spans="1:16">
      <c r="A12" s="1" t="s">
        <v>67</v>
      </c>
      <c r="B12" s="1">
        <v>209</v>
      </c>
    </row>
    <row r="13" spans="1:16">
      <c r="A13" s="1" t="s">
        <v>68</v>
      </c>
      <c r="B13" s="1">
        <v>297</v>
      </c>
    </row>
    <row r="14" spans="1:16">
      <c r="A14" s="1" t="s">
        <v>69</v>
      </c>
      <c r="B14" s="1">
        <v>300</v>
      </c>
    </row>
    <row r="15" spans="1:16">
      <c r="A15" s="1" t="s">
        <v>70</v>
      </c>
      <c r="B15" s="1">
        <v>232</v>
      </c>
    </row>
    <row r="16" spans="1:16">
      <c r="A16" s="1" t="s">
        <v>71</v>
      </c>
      <c r="B16" s="1">
        <v>246</v>
      </c>
    </row>
    <row r="17" spans="1:4">
      <c r="A17" s="1" t="s">
        <v>72</v>
      </c>
      <c r="B17" s="1">
        <v>296</v>
      </c>
    </row>
    <row r="18" spans="1:4">
      <c r="A18" s="1" t="s">
        <v>73</v>
      </c>
      <c r="B18" s="1">
        <v>240</v>
      </c>
      <c r="D18" s="1"/>
    </row>
    <row r="19" spans="1:4">
      <c r="A19" s="1" t="s">
        <v>74</v>
      </c>
      <c r="B19" s="1">
        <v>252</v>
      </c>
      <c r="D19" s="1"/>
    </row>
    <row r="20" spans="1:4">
      <c r="A20" s="1" t="s">
        <v>75</v>
      </c>
      <c r="B20" s="1">
        <v>248</v>
      </c>
      <c r="D20" s="1"/>
    </row>
    <row r="21" spans="1:4">
      <c r="A21" s="1" t="s">
        <v>76</v>
      </c>
      <c r="B21" s="1">
        <v>226</v>
      </c>
      <c r="D21" s="1"/>
    </row>
    <row r="22" spans="1:4">
      <c r="A22" s="1" t="s">
        <v>77</v>
      </c>
      <c r="B22" s="1">
        <v>251</v>
      </c>
      <c r="D22" s="1"/>
    </row>
    <row r="23" spans="1:4">
      <c r="A23" s="1" t="s">
        <v>78</v>
      </c>
      <c r="B23" s="1">
        <v>227</v>
      </c>
    </row>
    <row r="24" spans="1:4">
      <c r="A24" s="1" t="s">
        <v>79</v>
      </c>
      <c r="B24" s="1">
        <v>277</v>
      </c>
    </row>
    <row r="25" spans="1:4">
      <c r="A25" s="1" t="s">
        <v>80</v>
      </c>
      <c r="B25" s="1">
        <v>220</v>
      </c>
    </row>
    <row r="26" spans="1:4">
      <c r="A26" s="1" t="s">
        <v>81</v>
      </c>
      <c r="B26" s="1">
        <v>341</v>
      </c>
    </row>
    <row r="27" spans="1:4">
      <c r="A27" s="1" t="s">
        <v>82</v>
      </c>
      <c r="B27" s="1">
        <v>388</v>
      </c>
    </row>
    <row r="28" spans="1:4">
      <c r="A28" s="1" t="s">
        <v>83</v>
      </c>
      <c r="B28" s="1">
        <v>391</v>
      </c>
      <c r="D28" s="1"/>
    </row>
    <row r="29" spans="1:4">
      <c r="A29" s="1" t="s">
        <v>84</v>
      </c>
      <c r="B29" s="1">
        <v>336</v>
      </c>
    </row>
    <row r="30" spans="1:4">
      <c r="A30" s="1" t="s">
        <v>85</v>
      </c>
      <c r="B30" s="1">
        <v>378</v>
      </c>
    </row>
    <row r="31" spans="1:4">
      <c r="A31" s="1" t="s">
        <v>86</v>
      </c>
      <c r="B31" s="1">
        <v>347</v>
      </c>
    </row>
    <row r="32" spans="1:4">
      <c r="A32" s="1" t="s">
        <v>87</v>
      </c>
      <c r="B32" s="1">
        <v>303</v>
      </c>
    </row>
    <row r="33" spans="1:2">
      <c r="A33" s="1" t="s">
        <v>88</v>
      </c>
      <c r="B33" s="1">
        <v>303</v>
      </c>
    </row>
    <row r="34" spans="1:2">
      <c r="A34" s="1" t="s">
        <v>89</v>
      </c>
      <c r="B34" s="1">
        <v>448</v>
      </c>
    </row>
    <row r="35" spans="1:2">
      <c r="A35" s="1" t="s">
        <v>90</v>
      </c>
      <c r="B35" s="1">
        <v>431</v>
      </c>
    </row>
    <row r="36" spans="1:2">
      <c r="A36" s="1" t="s">
        <v>91</v>
      </c>
      <c r="B36" s="1">
        <v>483</v>
      </c>
    </row>
    <row r="37" spans="1:2">
      <c r="A37" s="1" t="s">
        <v>92</v>
      </c>
      <c r="B37" s="1">
        <v>419</v>
      </c>
    </row>
    <row r="38" spans="1:2">
      <c r="A38" s="1" t="s">
        <v>93</v>
      </c>
      <c r="B38" s="1">
        <v>487</v>
      </c>
    </row>
    <row r="39" spans="1:2">
      <c r="A39" s="1" t="s">
        <v>94</v>
      </c>
      <c r="B39" s="1">
        <v>594</v>
      </c>
    </row>
    <row r="40" spans="1:2">
      <c r="A40" s="1" t="s">
        <v>95</v>
      </c>
      <c r="B40" s="1">
        <v>532</v>
      </c>
    </row>
    <row r="41" spans="1:2">
      <c r="A41" s="1" t="s">
        <v>96</v>
      </c>
      <c r="B41" s="1">
        <v>517</v>
      </c>
    </row>
    <row r="42" spans="1:2">
      <c r="A42" s="1" t="s">
        <v>97</v>
      </c>
      <c r="B42" s="1">
        <v>628</v>
      </c>
    </row>
    <row r="43" spans="1:2">
      <c r="A43" s="1"/>
    </row>
    <row r="44" spans="1:2">
      <c r="A44" s="1"/>
    </row>
    <row r="45" spans="1:2">
      <c r="A45" s="1"/>
    </row>
    <row r="46" spans="1:2">
      <c r="A46" s="1"/>
    </row>
    <row r="47" spans="1:2"/>
    <row r="48" spans="1:2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49"/>
  <sheetViews>
    <sheetView workbookViewId="0"/>
  </sheetViews>
  <sheetFormatPr defaultColWidth="12.6640625" defaultRowHeight="15.75" customHeight="1"/>
  <sheetData>
    <row r="1" spans="1:8">
      <c r="A1" s="1" t="s">
        <v>98</v>
      </c>
      <c r="C1" s="108"/>
      <c r="D1" s="106" t="s">
        <v>244</v>
      </c>
      <c r="E1" s="120"/>
    </row>
    <row r="2" spans="1:8">
      <c r="A2" s="78">
        <v>76.03</v>
      </c>
      <c r="C2" s="106" t="s">
        <v>98</v>
      </c>
      <c r="D2" s="108" t="s">
        <v>99</v>
      </c>
      <c r="E2" s="132" t="s">
        <v>99</v>
      </c>
      <c r="G2" s="106" t="s">
        <v>98</v>
      </c>
      <c r="H2" s="107" t="s">
        <v>99</v>
      </c>
    </row>
    <row r="3" spans="1:8">
      <c r="A3" s="78">
        <v>90.09</v>
      </c>
      <c r="C3" s="108" t="s">
        <v>211</v>
      </c>
      <c r="D3" s="124"/>
      <c r="E3" s="133">
        <v>0</v>
      </c>
      <c r="G3" s="108" t="s">
        <v>211</v>
      </c>
      <c r="H3" s="109"/>
    </row>
    <row r="4" spans="1:8">
      <c r="A4" s="78">
        <v>49.96</v>
      </c>
      <c r="C4" s="110" t="s">
        <v>235</v>
      </c>
      <c r="D4" s="126">
        <v>2</v>
      </c>
      <c r="E4" s="134">
        <v>4.3478260869565216E-2</v>
      </c>
      <c r="G4" s="110" t="s">
        <v>235</v>
      </c>
      <c r="H4" s="111">
        <v>2</v>
      </c>
    </row>
    <row r="5" spans="1:8">
      <c r="A5" s="78">
        <v>17.98</v>
      </c>
      <c r="C5" s="110" t="s">
        <v>236</v>
      </c>
      <c r="D5" s="126">
        <v>1</v>
      </c>
      <c r="E5" s="134">
        <v>2.1739130434782608E-2</v>
      </c>
      <c r="G5" s="110" t="s">
        <v>236</v>
      </c>
      <c r="H5" s="111">
        <v>1</v>
      </c>
    </row>
    <row r="6" spans="1:8">
      <c r="A6" s="78">
        <v>35.44</v>
      </c>
      <c r="C6" s="110" t="s">
        <v>237</v>
      </c>
      <c r="D6" s="126">
        <v>2</v>
      </c>
      <c r="E6" s="134">
        <v>4.3478260869565216E-2</v>
      </c>
      <c r="G6" s="110" t="s">
        <v>237</v>
      </c>
      <c r="H6" s="111">
        <v>2</v>
      </c>
    </row>
    <row r="7" spans="1:8">
      <c r="A7" s="78">
        <v>32.14</v>
      </c>
      <c r="C7" s="110" t="s">
        <v>238</v>
      </c>
      <c r="D7" s="126">
        <v>13</v>
      </c>
      <c r="E7" s="134">
        <v>0.28260869565217389</v>
      </c>
      <c r="G7" s="110" t="s">
        <v>238</v>
      </c>
      <c r="H7" s="111">
        <v>13</v>
      </c>
    </row>
    <row r="8" spans="1:8">
      <c r="A8" s="78">
        <v>44.39</v>
      </c>
      <c r="C8" s="110" t="s">
        <v>239</v>
      </c>
      <c r="D8" s="126">
        <v>13</v>
      </c>
      <c r="E8" s="134">
        <v>0.28260869565217389</v>
      </c>
      <c r="G8" s="110" t="s">
        <v>239</v>
      </c>
      <c r="H8" s="111">
        <v>13</v>
      </c>
    </row>
    <row r="9" spans="1:8">
      <c r="A9" s="78">
        <v>46.18</v>
      </c>
      <c r="C9" s="110" t="s">
        <v>240</v>
      </c>
      <c r="D9" s="126">
        <v>8</v>
      </c>
      <c r="E9" s="134">
        <v>0.17391304347826086</v>
      </c>
      <c r="G9" s="110" t="s">
        <v>240</v>
      </c>
      <c r="H9" s="111">
        <v>8</v>
      </c>
    </row>
    <row r="10" spans="1:8">
      <c r="A10" s="78">
        <v>62.65</v>
      </c>
      <c r="C10" s="110" t="s">
        <v>241</v>
      </c>
      <c r="D10" s="126">
        <v>4</v>
      </c>
      <c r="E10" s="134">
        <v>8.6956521739130432E-2</v>
      </c>
      <c r="G10" s="110" t="s">
        <v>241</v>
      </c>
      <c r="H10" s="111">
        <v>4</v>
      </c>
    </row>
    <row r="11" spans="1:8">
      <c r="A11" s="78">
        <v>54.71</v>
      </c>
      <c r="C11" s="110" t="s">
        <v>242</v>
      </c>
      <c r="D11" s="126">
        <v>2</v>
      </c>
      <c r="E11" s="134">
        <v>4.3478260869565216E-2</v>
      </c>
      <c r="G11" s="110" t="s">
        <v>242</v>
      </c>
      <c r="H11" s="111">
        <v>2</v>
      </c>
    </row>
    <row r="12" spans="1:8">
      <c r="A12" s="78">
        <v>60.05</v>
      </c>
      <c r="C12" s="110" t="s">
        <v>243</v>
      </c>
      <c r="D12" s="126">
        <v>1</v>
      </c>
      <c r="E12" s="134">
        <v>2.1739130434782608E-2</v>
      </c>
      <c r="G12" s="110" t="s">
        <v>243</v>
      </c>
      <c r="H12" s="111">
        <v>1</v>
      </c>
    </row>
    <row r="13" spans="1:8">
      <c r="A13" s="78">
        <v>38.67</v>
      </c>
      <c r="C13" s="112" t="s">
        <v>63</v>
      </c>
      <c r="D13" s="128">
        <v>46</v>
      </c>
      <c r="E13" s="135">
        <v>1</v>
      </c>
      <c r="G13" s="112" t="s">
        <v>63</v>
      </c>
      <c r="H13" s="113">
        <v>46</v>
      </c>
    </row>
    <row r="14" spans="1:8">
      <c r="A14" s="78">
        <v>59.41</v>
      </c>
    </row>
    <row r="15" spans="1:8">
      <c r="A15" s="78">
        <v>44.46</v>
      </c>
    </row>
    <row r="16" spans="1:8">
      <c r="A16" s="78">
        <v>38.770000000000003</v>
      </c>
    </row>
    <row r="17" spans="1:1">
      <c r="A17" s="78">
        <v>49.16</v>
      </c>
    </row>
    <row r="18" spans="1:1">
      <c r="A18" s="78">
        <v>36.08</v>
      </c>
    </row>
    <row r="19" spans="1:1">
      <c r="A19" s="78">
        <v>32.25</v>
      </c>
    </row>
    <row r="20" spans="1:1">
      <c r="A20" s="78">
        <v>34.21</v>
      </c>
    </row>
    <row r="21" spans="1:1">
      <c r="A21" s="78">
        <v>44.65</v>
      </c>
    </row>
    <row r="22" spans="1:1">
      <c r="A22" s="78">
        <v>53.24</v>
      </c>
    </row>
    <row r="23" spans="1:1">
      <c r="A23" s="78">
        <v>8.2799999999999994</v>
      </c>
    </row>
    <row r="24" spans="1:1">
      <c r="A24" s="78">
        <v>0</v>
      </c>
    </row>
    <row r="25" spans="1:1">
      <c r="A25" s="78">
        <v>71.010000000000005</v>
      </c>
    </row>
    <row r="26" spans="1:1">
      <c r="A26" s="78">
        <v>44.51</v>
      </c>
    </row>
    <row r="27" spans="1:1">
      <c r="A27" s="78">
        <v>32.53</v>
      </c>
    </row>
    <row r="28" spans="1:1">
      <c r="A28" s="78">
        <v>51.8</v>
      </c>
    </row>
    <row r="29" spans="1:1">
      <c r="A29" s="78">
        <v>59.97</v>
      </c>
    </row>
    <row r="30" spans="1:1">
      <c r="A30" s="78">
        <v>43.22</v>
      </c>
    </row>
    <row r="31" spans="1:1">
      <c r="A31" s="78">
        <v>31.53</v>
      </c>
    </row>
    <row r="32" spans="1:1">
      <c r="A32" s="78">
        <v>60.09</v>
      </c>
    </row>
    <row r="33" spans="1:1">
      <c r="A33" s="78">
        <v>40.21</v>
      </c>
    </row>
    <row r="34" spans="1:1">
      <c r="A34" s="78">
        <v>46.49</v>
      </c>
    </row>
    <row r="35" spans="1:1">
      <c r="A35" s="78">
        <v>41.89</v>
      </c>
    </row>
    <row r="36" spans="1:1">
      <c r="A36" s="78">
        <v>51.55</v>
      </c>
    </row>
    <row r="37" spans="1:1">
      <c r="A37" s="78">
        <v>33.840000000000003</v>
      </c>
    </row>
    <row r="38" spans="1:1">
      <c r="A38" s="78">
        <v>22.24</v>
      </c>
    </row>
    <row r="39" spans="1:1">
      <c r="A39" s="78">
        <v>62.56</v>
      </c>
    </row>
    <row r="40" spans="1:1">
      <c r="A40" s="78">
        <v>38.409999999999997</v>
      </c>
    </row>
    <row r="41" spans="1:1">
      <c r="A41" s="78">
        <v>48.72</v>
      </c>
    </row>
    <row r="42" spans="1:1">
      <c r="A42" s="78">
        <v>43.41</v>
      </c>
    </row>
    <row r="43" spans="1:1">
      <c r="A43" s="78">
        <v>39.950000000000003</v>
      </c>
    </row>
    <row r="44" spans="1:1">
      <c r="A44" s="78">
        <v>56.07</v>
      </c>
    </row>
    <row r="45" spans="1:1">
      <c r="A45" s="78">
        <v>33.6</v>
      </c>
    </row>
    <row r="46" spans="1:1">
      <c r="A46" s="78">
        <v>53.18</v>
      </c>
    </row>
    <row r="47" spans="1:1">
      <c r="A47" s="78">
        <v>27.65</v>
      </c>
    </row>
    <row r="48" spans="1:1">
      <c r="A48" s="1"/>
    </row>
    <row r="49" spans="1:1">
      <c r="A49" s="1"/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6"/>
  <sheetViews>
    <sheetView workbookViewId="0"/>
  </sheetViews>
  <sheetFormatPr defaultColWidth="12.6640625" defaultRowHeight="15.75" customHeight="1"/>
  <cols>
    <col min="8" max="8" width="56.33203125" customWidth="1"/>
  </cols>
  <sheetData>
    <row r="1" spans="1:8">
      <c r="A1" s="79" t="s">
        <v>100</v>
      </c>
      <c r="E1" s="106" t="s">
        <v>100</v>
      </c>
      <c r="F1" s="107" t="s">
        <v>101</v>
      </c>
      <c r="H1" s="79" t="s">
        <v>102</v>
      </c>
    </row>
    <row r="2" spans="1:8">
      <c r="A2" s="80">
        <v>12</v>
      </c>
      <c r="C2" s="81" t="s">
        <v>103</v>
      </c>
      <c r="D2" s="82">
        <f>MAX(A:A)</f>
        <v>33</v>
      </c>
      <c r="E2" s="108" t="s">
        <v>233</v>
      </c>
      <c r="F2" s="109"/>
      <c r="H2" s="79" t="s">
        <v>104</v>
      </c>
    </row>
    <row r="3" spans="1:8">
      <c r="A3" s="79">
        <v>15</v>
      </c>
      <c r="C3" s="81" t="s">
        <v>105</v>
      </c>
      <c r="D3" s="82">
        <f>MIN(A:A)</f>
        <v>12</v>
      </c>
      <c r="E3" s="110" t="s">
        <v>223</v>
      </c>
      <c r="F3" s="111">
        <v>3</v>
      </c>
    </row>
    <row r="4" spans="1:8">
      <c r="A4" s="79">
        <v>20</v>
      </c>
      <c r="D4" s="82">
        <f>D2-D3</f>
        <v>21</v>
      </c>
      <c r="E4" s="110" t="s">
        <v>224</v>
      </c>
      <c r="F4" s="111">
        <v>5</v>
      </c>
      <c r="H4" s="79" t="s">
        <v>106</v>
      </c>
    </row>
    <row r="5" spans="1:8">
      <c r="A5" s="79">
        <v>22</v>
      </c>
      <c r="D5" s="82">
        <f>D4/5</f>
        <v>4.2</v>
      </c>
      <c r="E5" s="110" t="s">
        <v>225</v>
      </c>
      <c r="F5" s="111">
        <v>4</v>
      </c>
    </row>
    <row r="6" spans="1:8">
      <c r="A6" s="79">
        <v>14</v>
      </c>
      <c r="E6" s="110" t="s">
        <v>226</v>
      </c>
      <c r="F6" s="111">
        <v>2</v>
      </c>
      <c r="H6" s="79" t="s">
        <v>107</v>
      </c>
    </row>
    <row r="7" spans="1:8">
      <c r="A7" s="79">
        <v>27</v>
      </c>
      <c r="E7" s="110" t="s">
        <v>234</v>
      </c>
      <c r="F7" s="111">
        <v>1</v>
      </c>
      <c r="H7" s="79"/>
    </row>
    <row r="8" spans="1:8">
      <c r="A8" s="79">
        <v>21</v>
      </c>
      <c r="E8" s="112" t="s">
        <v>63</v>
      </c>
      <c r="F8" s="113">
        <v>15</v>
      </c>
      <c r="H8" s="79" t="s">
        <v>108</v>
      </c>
    </row>
    <row r="9" spans="1:8">
      <c r="A9" s="79">
        <v>18</v>
      </c>
      <c r="H9" s="79"/>
    </row>
    <row r="10" spans="1:8">
      <c r="A10" s="79">
        <v>19</v>
      </c>
      <c r="H10" s="79" t="s">
        <v>109</v>
      </c>
    </row>
    <row r="11" spans="1:8">
      <c r="A11" s="79">
        <v>33</v>
      </c>
    </row>
    <row r="12" spans="1:8">
      <c r="A12" s="79">
        <v>16</v>
      </c>
      <c r="H12" s="79" t="s">
        <v>110</v>
      </c>
    </row>
    <row r="13" spans="1:8">
      <c r="A13" s="79">
        <v>17</v>
      </c>
      <c r="H13" s="83"/>
    </row>
    <row r="14" spans="1:8">
      <c r="A14" s="79">
        <v>23</v>
      </c>
    </row>
    <row r="15" spans="1:8">
      <c r="A15" s="79">
        <v>28</v>
      </c>
    </row>
    <row r="16" spans="1:8">
      <c r="A16" s="79">
        <v>13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39"/>
  <sheetViews>
    <sheetView workbookViewId="0"/>
  </sheetViews>
  <sheetFormatPr defaultColWidth="12.6640625" defaultRowHeight="15.75" customHeight="1"/>
  <sheetData>
    <row r="1" spans="1:5">
      <c r="A1" s="84" t="s">
        <v>111</v>
      </c>
      <c r="B1" s="79" t="s">
        <v>1</v>
      </c>
    </row>
    <row r="2" spans="1:5">
      <c r="A2" s="80">
        <v>112</v>
      </c>
      <c r="B2" s="79">
        <f t="shared" ref="B2:B39" si="0">CEILING(_xlfn.RANK.EQ(A2,$A$2:$A$41,0)/(COUNT($A$2:$A$41)/10),1)</f>
        <v>4</v>
      </c>
      <c r="D2" s="106" t="s">
        <v>111</v>
      </c>
      <c r="E2" s="107" t="s">
        <v>112</v>
      </c>
    </row>
    <row r="3" spans="1:5">
      <c r="A3" s="79">
        <v>73</v>
      </c>
      <c r="B3" s="79">
        <f t="shared" si="0"/>
        <v>10</v>
      </c>
      <c r="D3" s="108" t="s">
        <v>228</v>
      </c>
      <c r="E3" s="109">
        <v>11</v>
      </c>
    </row>
    <row r="4" spans="1:5">
      <c r="A4" s="79">
        <v>126</v>
      </c>
      <c r="B4" s="79">
        <f t="shared" si="0"/>
        <v>2</v>
      </c>
      <c r="D4" s="110" t="s">
        <v>229</v>
      </c>
      <c r="E4" s="111">
        <v>6</v>
      </c>
    </row>
    <row r="5" spans="1:5">
      <c r="A5" s="79">
        <v>82</v>
      </c>
      <c r="B5" s="79">
        <f t="shared" si="0"/>
        <v>8</v>
      </c>
      <c r="D5" s="110" t="s">
        <v>230</v>
      </c>
      <c r="E5" s="111">
        <v>1</v>
      </c>
    </row>
    <row r="6" spans="1:5">
      <c r="A6" s="79">
        <v>92</v>
      </c>
      <c r="B6" s="79">
        <f t="shared" si="0"/>
        <v>7</v>
      </c>
      <c r="D6" s="110" t="s">
        <v>231</v>
      </c>
      <c r="E6" s="111">
        <v>6</v>
      </c>
    </row>
    <row r="7" spans="1:5">
      <c r="A7" s="79">
        <v>115</v>
      </c>
      <c r="B7" s="79">
        <f t="shared" si="0"/>
        <v>3</v>
      </c>
      <c r="D7" s="110" t="s">
        <v>232</v>
      </c>
      <c r="E7" s="111">
        <v>14</v>
      </c>
    </row>
    <row r="8" spans="1:5">
      <c r="A8" s="79">
        <v>95</v>
      </c>
      <c r="B8" s="79">
        <f t="shared" si="0"/>
        <v>6</v>
      </c>
      <c r="D8" s="112" t="s">
        <v>63</v>
      </c>
      <c r="E8" s="113">
        <v>38</v>
      </c>
    </row>
    <row r="9" spans="1:5">
      <c r="A9" s="79">
        <v>84</v>
      </c>
      <c r="B9" s="79">
        <f t="shared" si="0"/>
        <v>8</v>
      </c>
    </row>
    <row r="10" spans="1:5">
      <c r="A10" s="79">
        <v>68</v>
      </c>
      <c r="B10" s="79">
        <f t="shared" si="0"/>
        <v>10</v>
      </c>
    </row>
    <row r="11" spans="1:5">
      <c r="A11" s="79">
        <v>100</v>
      </c>
      <c r="B11" s="79">
        <f t="shared" si="0"/>
        <v>5</v>
      </c>
    </row>
    <row r="12" spans="1:5">
      <c r="A12" s="79">
        <v>72</v>
      </c>
      <c r="B12" s="79">
        <f t="shared" si="0"/>
        <v>10</v>
      </c>
    </row>
    <row r="13" spans="1:5">
      <c r="A13" s="79">
        <v>128</v>
      </c>
      <c r="B13" s="79">
        <f t="shared" si="0"/>
        <v>2</v>
      </c>
    </row>
    <row r="14" spans="1:5">
      <c r="A14" s="79">
        <v>104</v>
      </c>
      <c r="B14" s="79">
        <f t="shared" si="0"/>
        <v>5</v>
      </c>
    </row>
    <row r="15" spans="1:5">
      <c r="A15" s="79">
        <v>108</v>
      </c>
      <c r="B15" s="79">
        <f t="shared" si="0"/>
        <v>4</v>
      </c>
    </row>
    <row r="16" spans="1:5">
      <c r="A16" s="79">
        <v>76</v>
      </c>
      <c r="B16" s="79">
        <f t="shared" si="0"/>
        <v>9</v>
      </c>
    </row>
    <row r="17" spans="1:2">
      <c r="A17" s="79">
        <v>141</v>
      </c>
      <c r="B17" s="79">
        <f t="shared" si="0"/>
        <v>1</v>
      </c>
    </row>
    <row r="18" spans="1:2">
      <c r="A18" s="79">
        <v>119</v>
      </c>
      <c r="B18" s="79">
        <f t="shared" si="0"/>
        <v>3</v>
      </c>
    </row>
    <row r="19" spans="1:2">
      <c r="A19" s="79">
        <v>98</v>
      </c>
      <c r="B19" s="79">
        <f t="shared" si="0"/>
        <v>5</v>
      </c>
    </row>
    <row r="20" spans="1:2">
      <c r="A20" s="79">
        <v>85</v>
      </c>
      <c r="B20" s="79">
        <f t="shared" si="0"/>
        <v>8</v>
      </c>
    </row>
    <row r="21" spans="1:2">
      <c r="A21" s="79">
        <v>69</v>
      </c>
      <c r="B21" s="79">
        <f t="shared" si="0"/>
        <v>10</v>
      </c>
    </row>
    <row r="22" spans="1:2">
      <c r="A22" s="79">
        <v>118</v>
      </c>
      <c r="B22" s="79">
        <f t="shared" si="0"/>
        <v>3</v>
      </c>
    </row>
    <row r="23" spans="1:2">
      <c r="A23" s="79">
        <v>132</v>
      </c>
      <c r="B23" s="79">
        <f t="shared" si="0"/>
        <v>1</v>
      </c>
    </row>
    <row r="24" spans="1:2">
      <c r="A24" s="79">
        <v>96</v>
      </c>
      <c r="B24" s="79">
        <f t="shared" si="0"/>
        <v>6</v>
      </c>
    </row>
    <row r="25" spans="1:2">
      <c r="A25" s="79">
        <v>91</v>
      </c>
      <c r="B25" s="79">
        <f t="shared" si="0"/>
        <v>7</v>
      </c>
    </row>
    <row r="26" spans="1:2">
      <c r="A26" s="79">
        <v>81</v>
      </c>
      <c r="B26" s="79">
        <f t="shared" si="0"/>
        <v>9</v>
      </c>
    </row>
    <row r="27" spans="1:2">
      <c r="A27" s="79">
        <v>113</v>
      </c>
      <c r="B27" s="79">
        <f t="shared" si="0"/>
        <v>3</v>
      </c>
    </row>
    <row r="28" spans="1:2">
      <c r="A28" s="79">
        <v>94</v>
      </c>
      <c r="B28" s="79">
        <f t="shared" si="0"/>
        <v>7</v>
      </c>
    </row>
    <row r="29" spans="1:2">
      <c r="A29" s="79">
        <v>97</v>
      </c>
      <c r="B29" s="79">
        <f t="shared" si="0"/>
        <v>6</v>
      </c>
    </row>
    <row r="30" spans="1:2">
      <c r="A30" s="79">
        <v>86</v>
      </c>
      <c r="B30" s="79">
        <f t="shared" si="0"/>
        <v>7</v>
      </c>
    </row>
    <row r="31" spans="1:2">
      <c r="A31" s="79">
        <v>127</v>
      </c>
      <c r="B31" s="79">
        <f t="shared" si="0"/>
        <v>2</v>
      </c>
    </row>
    <row r="32" spans="1:2">
      <c r="A32" s="79">
        <v>134</v>
      </c>
      <c r="B32" s="79">
        <f t="shared" si="0"/>
        <v>1</v>
      </c>
    </row>
    <row r="33" spans="1:2">
      <c r="A33" s="79">
        <v>102</v>
      </c>
      <c r="B33" s="79">
        <f t="shared" si="0"/>
        <v>5</v>
      </c>
    </row>
    <row r="34" spans="1:2">
      <c r="A34" s="79">
        <v>80</v>
      </c>
      <c r="B34" s="79">
        <f t="shared" si="0"/>
        <v>9</v>
      </c>
    </row>
    <row r="35" spans="1:2">
      <c r="A35" s="79">
        <v>106</v>
      </c>
      <c r="B35" s="79">
        <f t="shared" si="0"/>
        <v>4</v>
      </c>
    </row>
    <row r="36" spans="1:2">
      <c r="A36" s="79">
        <v>107</v>
      </c>
      <c r="B36" s="79">
        <f t="shared" si="0"/>
        <v>4</v>
      </c>
    </row>
    <row r="37" spans="1:2">
      <c r="A37" s="79">
        <v>124</v>
      </c>
      <c r="B37" s="79">
        <f t="shared" si="0"/>
        <v>2</v>
      </c>
    </row>
    <row r="38" spans="1:2">
      <c r="A38" s="79">
        <v>83</v>
      </c>
      <c r="B38" s="79">
        <f t="shared" si="0"/>
        <v>8</v>
      </c>
    </row>
    <row r="39" spans="1:2">
      <c r="A39" s="79">
        <v>75</v>
      </c>
      <c r="B39" s="79">
        <f t="shared" si="0"/>
        <v>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25">
      <c r="A1" s="1" t="s">
        <v>48</v>
      </c>
      <c r="B1" s="85" t="s">
        <v>100</v>
      </c>
      <c r="F1" s="106" t="s">
        <v>100</v>
      </c>
      <c r="G1" s="107" t="s">
        <v>113</v>
      </c>
      <c r="H1" s="1" t="s">
        <v>114</v>
      </c>
      <c r="L1" s="1"/>
      <c r="M1" s="1"/>
      <c r="N1" s="1"/>
      <c r="O1" s="1"/>
      <c r="P1" s="19"/>
      <c r="Q1" s="1"/>
      <c r="R1" s="1"/>
      <c r="S1" s="1"/>
      <c r="T1" s="1"/>
      <c r="U1" s="1"/>
      <c r="V1" s="1"/>
      <c r="W1" s="1"/>
      <c r="X1" s="1"/>
      <c r="Y1" s="1"/>
    </row>
    <row r="2" spans="1:25">
      <c r="A2" s="1" t="s">
        <v>51</v>
      </c>
      <c r="B2" s="86">
        <v>12</v>
      </c>
      <c r="D2" s="12">
        <f>MAX(B:B)</f>
        <v>33</v>
      </c>
      <c r="F2" s="121" t="s">
        <v>223</v>
      </c>
      <c r="G2" s="109">
        <v>4</v>
      </c>
      <c r="H2" s="1">
        <v>4</v>
      </c>
      <c r="L2" s="1"/>
      <c r="M2" s="1"/>
      <c r="N2" s="1"/>
      <c r="O2" s="1"/>
      <c r="P2" s="19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 t="s">
        <v>53</v>
      </c>
      <c r="B3" s="12">
        <v>15</v>
      </c>
      <c r="D3" s="12">
        <f>MIN(B:B)</f>
        <v>12</v>
      </c>
      <c r="F3" s="130" t="s">
        <v>224</v>
      </c>
      <c r="G3" s="111">
        <v>8</v>
      </c>
      <c r="H3" s="1">
        <f>H2+G3</f>
        <v>12</v>
      </c>
      <c r="L3" s="1"/>
      <c r="M3" s="1"/>
      <c r="N3" s="1"/>
      <c r="O3" s="1"/>
      <c r="P3" s="19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 t="s">
        <v>55</v>
      </c>
      <c r="B4" s="12">
        <v>20</v>
      </c>
      <c r="D4" s="12">
        <f>D2-D3</f>
        <v>21</v>
      </c>
      <c r="F4" s="130" t="s">
        <v>225</v>
      </c>
      <c r="G4" s="111">
        <v>5</v>
      </c>
      <c r="H4" s="1">
        <f t="shared" ref="H4:H6" si="0">G4+H3</f>
        <v>17</v>
      </c>
      <c r="L4" s="1"/>
      <c r="M4" s="1"/>
      <c r="N4" s="1"/>
      <c r="O4" s="1"/>
      <c r="P4" s="19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 t="s">
        <v>57</v>
      </c>
      <c r="B5" s="12">
        <v>22</v>
      </c>
      <c r="D5" s="78">
        <f>D4/5</f>
        <v>4.2</v>
      </c>
      <c r="F5" s="130" t="s">
        <v>226</v>
      </c>
      <c r="G5" s="111">
        <v>2</v>
      </c>
      <c r="H5" s="1">
        <f t="shared" si="0"/>
        <v>19</v>
      </c>
      <c r="L5" s="1"/>
      <c r="M5" s="1"/>
      <c r="N5" s="1"/>
      <c r="O5" s="1"/>
      <c r="P5" s="19"/>
      <c r="Q5" s="1"/>
      <c r="R5" s="1"/>
      <c r="S5" s="1"/>
      <c r="T5" s="1"/>
      <c r="U5" s="1"/>
      <c r="V5" s="1"/>
      <c r="W5" s="1"/>
      <c r="X5" s="1"/>
      <c r="Y5" s="1"/>
    </row>
    <row r="6" spans="1:25">
      <c r="A6" s="1" t="s">
        <v>59</v>
      </c>
      <c r="B6" s="12">
        <v>14</v>
      </c>
      <c r="E6" s="1"/>
      <c r="F6" s="130" t="s">
        <v>227</v>
      </c>
      <c r="G6" s="111">
        <v>1</v>
      </c>
      <c r="H6" s="1">
        <f t="shared" si="0"/>
        <v>20</v>
      </c>
      <c r="L6" s="1"/>
      <c r="M6" s="1"/>
      <c r="N6" s="1"/>
      <c r="O6" s="1"/>
      <c r="P6" s="19"/>
      <c r="Q6" s="1"/>
      <c r="R6" s="1"/>
      <c r="S6" s="1"/>
      <c r="T6" s="1"/>
      <c r="U6" s="1"/>
      <c r="V6" s="1"/>
      <c r="W6" s="1"/>
      <c r="X6" s="1"/>
      <c r="Y6" s="1"/>
    </row>
    <row r="7" spans="1:25">
      <c r="A7" s="1" t="s">
        <v>61</v>
      </c>
      <c r="B7" s="12">
        <v>14</v>
      </c>
      <c r="C7" s="1"/>
      <c r="D7" s="1"/>
      <c r="E7" s="1"/>
      <c r="F7" s="131" t="s">
        <v>63</v>
      </c>
      <c r="G7" s="113">
        <v>20</v>
      </c>
      <c r="L7" s="1"/>
      <c r="M7" s="1"/>
      <c r="N7" s="1"/>
      <c r="O7" s="1"/>
      <c r="P7" s="19"/>
      <c r="Q7" s="1"/>
      <c r="R7" s="1"/>
      <c r="S7" s="1"/>
      <c r="T7" s="1"/>
      <c r="U7" s="1"/>
      <c r="V7" s="1"/>
      <c r="W7" s="1"/>
      <c r="X7" s="1"/>
      <c r="Y7" s="1"/>
    </row>
    <row r="8" spans="1:25">
      <c r="A8" s="1" t="s">
        <v>62</v>
      </c>
      <c r="B8" s="12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9"/>
      <c r="Q8" s="1"/>
      <c r="R8" s="1"/>
      <c r="S8" s="1"/>
      <c r="T8" s="1"/>
      <c r="U8" s="1"/>
      <c r="V8" s="1"/>
      <c r="W8" s="1"/>
      <c r="X8" s="1"/>
      <c r="Y8" s="1"/>
    </row>
    <row r="9" spans="1:25">
      <c r="A9" s="1" t="s">
        <v>64</v>
      </c>
      <c r="B9" s="12">
        <v>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9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1" t="s">
        <v>65</v>
      </c>
      <c r="B10" s="12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9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1" t="s">
        <v>66</v>
      </c>
      <c r="B11" s="12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9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1" t="s">
        <v>67</v>
      </c>
      <c r="B12" s="12">
        <v>19</v>
      </c>
      <c r="C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9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1" t="s">
        <v>68</v>
      </c>
      <c r="B13" s="12">
        <v>18</v>
      </c>
      <c r="C13" s="1"/>
      <c r="D13" s="87" t="s">
        <v>115</v>
      </c>
      <c r="E13" s="87"/>
      <c r="F13" s="87"/>
      <c r="G13" s="87"/>
      <c r="H13" s="87"/>
      <c r="I13" s="87"/>
      <c r="J13" s="87"/>
      <c r="K13" s="1"/>
      <c r="L13" s="1"/>
      <c r="M13" s="1"/>
      <c r="N13" s="1"/>
      <c r="O13" s="1"/>
      <c r="P13" s="19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1" t="s">
        <v>69</v>
      </c>
      <c r="B14" s="12">
        <v>22</v>
      </c>
      <c r="C14" s="1"/>
      <c r="D14" s="87"/>
      <c r="E14" s="87"/>
      <c r="F14" s="87"/>
      <c r="G14" s="87"/>
      <c r="H14" s="87"/>
      <c r="I14" s="87"/>
      <c r="J14" s="87"/>
      <c r="K14" s="1"/>
      <c r="L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1" t="s">
        <v>70</v>
      </c>
      <c r="B15" s="12">
        <v>33</v>
      </c>
      <c r="C15" s="1"/>
      <c r="D15" s="87" t="s">
        <v>116</v>
      </c>
      <c r="E15" s="87"/>
      <c r="F15" s="87"/>
      <c r="G15" s="87"/>
      <c r="H15" s="87"/>
      <c r="I15" s="87"/>
      <c r="J15" s="87"/>
      <c r="K15" s="1"/>
      <c r="L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1" t="s">
        <v>71</v>
      </c>
      <c r="B16" s="12">
        <v>16</v>
      </c>
      <c r="C16" s="1"/>
      <c r="D16" s="87" t="s">
        <v>117</v>
      </c>
      <c r="E16" s="87"/>
      <c r="F16" s="87"/>
      <c r="G16" s="87"/>
      <c r="H16" s="87"/>
      <c r="I16" s="87"/>
      <c r="J16" s="87"/>
      <c r="K16" s="1"/>
      <c r="L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1" t="s">
        <v>72</v>
      </c>
      <c r="B17" s="12">
        <v>18</v>
      </c>
      <c r="C17" s="1"/>
      <c r="D17" s="83" t="s">
        <v>118</v>
      </c>
      <c r="E17" s="1"/>
      <c r="F17" s="1"/>
      <c r="G17" s="1"/>
      <c r="H17" s="1"/>
      <c r="I17" s="1"/>
      <c r="J17" s="1"/>
      <c r="K17" s="1"/>
      <c r="L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 t="s">
        <v>73</v>
      </c>
      <c r="B18" s="12">
        <v>17</v>
      </c>
      <c r="C18" s="1"/>
      <c r="D18" s="88" t="s">
        <v>119</v>
      </c>
      <c r="E18" s="1"/>
      <c r="F18" s="1"/>
      <c r="G18" s="1"/>
      <c r="H18" s="1"/>
      <c r="I18" s="1"/>
      <c r="J18" s="1"/>
      <c r="K18" s="1"/>
      <c r="L18" s="1"/>
      <c r="Q18" s="1"/>
      <c r="R18" s="1"/>
      <c r="S18" s="1"/>
      <c r="T18" s="1"/>
      <c r="U18" s="1"/>
      <c r="V18" s="1"/>
      <c r="W18" s="1"/>
      <c r="X18" s="1"/>
    </row>
    <row r="19" spans="1:25">
      <c r="A19" s="1" t="s">
        <v>74</v>
      </c>
      <c r="B19" s="12">
        <v>23</v>
      </c>
      <c r="C19" s="1"/>
      <c r="D19" s="88" t="s">
        <v>120</v>
      </c>
      <c r="E19" s="1"/>
      <c r="F19" s="1"/>
      <c r="G19" s="1"/>
      <c r="H19" s="1"/>
      <c r="I19" s="1"/>
      <c r="J19" s="1"/>
      <c r="K19" s="1"/>
      <c r="L19" s="1"/>
      <c r="Q19" s="1"/>
      <c r="R19" s="1"/>
      <c r="S19" s="1"/>
      <c r="T19" s="1"/>
      <c r="U19" s="1"/>
      <c r="V19" s="1"/>
      <c r="W19" s="1"/>
      <c r="X19" s="1"/>
    </row>
    <row r="20" spans="1:25">
      <c r="A20" s="1" t="s">
        <v>75</v>
      </c>
      <c r="B20" s="12">
        <v>28</v>
      </c>
      <c r="C20" s="1"/>
      <c r="D20" s="1"/>
      <c r="E20" s="1"/>
      <c r="F20" s="1"/>
      <c r="G20" s="1"/>
      <c r="H20" s="1"/>
      <c r="J20" s="1"/>
      <c r="K20" s="19"/>
      <c r="N20" s="1"/>
      <c r="Q20" s="1"/>
      <c r="R20" s="1"/>
      <c r="S20" s="1"/>
      <c r="T20" s="1"/>
      <c r="U20" s="1"/>
      <c r="V20" s="1"/>
      <c r="W20" s="1"/>
      <c r="X20" s="1"/>
    </row>
    <row r="21" spans="1:25">
      <c r="A21" s="1" t="s">
        <v>76</v>
      </c>
      <c r="B21" s="12">
        <v>13</v>
      </c>
      <c r="C21" s="1"/>
      <c r="D21" s="88" t="s">
        <v>121</v>
      </c>
      <c r="E21" s="88"/>
      <c r="F21" s="88"/>
      <c r="G21" s="88"/>
      <c r="H21" s="1"/>
      <c r="I21" s="1"/>
      <c r="J21" s="1"/>
      <c r="K21" s="19"/>
      <c r="M21" s="1"/>
      <c r="N21" s="1"/>
      <c r="O21" s="1"/>
      <c r="P21" s="19"/>
      <c r="Q21" s="1"/>
      <c r="R21" s="1"/>
      <c r="S21" s="1"/>
      <c r="T21" s="1"/>
      <c r="U21" s="1"/>
      <c r="V21" s="1"/>
      <c r="W21" s="1"/>
      <c r="X21" s="1"/>
    </row>
    <row r="22" spans="1:25">
      <c r="D22" s="83" t="s">
        <v>122</v>
      </c>
      <c r="E22" s="83"/>
      <c r="F22" s="83"/>
      <c r="G22" s="83"/>
      <c r="I22" s="1"/>
      <c r="J22" s="1"/>
      <c r="K22" s="19"/>
      <c r="N22" s="1"/>
      <c r="P22" s="89"/>
    </row>
    <row r="23" spans="1:25">
      <c r="D23" s="83" t="s">
        <v>123</v>
      </c>
      <c r="E23" s="83"/>
      <c r="F23" s="83"/>
      <c r="G23" s="83"/>
      <c r="J23" s="1"/>
      <c r="K23" s="19"/>
      <c r="N23" s="1"/>
      <c r="P23" s="89"/>
    </row>
    <row r="24" spans="1:25">
      <c r="J24" s="1"/>
      <c r="K24" s="19"/>
      <c r="L24" s="1"/>
      <c r="P24" s="89"/>
    </row>
    <row r="25" spans="1:25">
      <c r="J25" s="1"/>
      <c r="K25" s="1"/>
      <c r="L25" s="19"/>
      <c r="N25" s="83" t="s">
        <v>124</v>
      </c>
      <c r="P25" s="89"/>
    </row>
    <row r="26" spans="1:25">
      <c r="I26" s="1"/>
      <c r="J26" s="1"/>
      <c r="K26" s="1"/>
      <c r="L26" s="19"/>
      <c r="N26" s="83"/>
      <c r="P26" s="89"/>
    </row>
    <row r="27" spans="1:25">
      <c r="N27" s="83" t="s">
        <v>125</v>
      </c>
      <c r="P27" s="89"/>
    </row>
    <row r="28" spans="1:25">
      <c r="N28" s="83"/>
      <c r="P28" s="89"/>
    </row>
    <row r="29" spans="1:25">
      <c r="N29" s="83" t="s">
        <v>126</v>
      </c>
      <c r="P29" s="89"/>
    </row>
    <row r="30" spans="1:25">
      <c r="N30" s="83"/>
      <c r="P30" s="89"/>
    </row>
    <row r="31" spans="1:25">
      <c r="N31" s="83" t="s">
        <v>127</v>
      </c>
      <c r="P31" s="89"/>
    </row>
    <row r="32" spans="1:25">
      <c r="N32" s="83"/>
      <c r="P32" s="89"/>
    </row>
    <row r="33" spans="14:16">
      <c r="N33" s="83" t="s">
        <v>128</v>
      </c>
      <c r="P33" s="89"/>
    </row>
    <row r="34" spans="14:16">
      <c r="N34" s="83"/>
      <c r="P34" s="89"/>
    </row>
    <row r="35" spans="14:16">
      <c r="N35" s="83" t="s">
        <v>129</v>
      </c>
      <c r="P35" s="89"/>
    </row>
    <row r="36" spans="14:16">
      <c r="N36" s="83"/>
      <c r="P36" s="89"/>
    </row>
    <row r="37" spans="14:16">
      <c r="P37" s="89"/>
    </row>
    <row r="38" spans="14:16">
      <c r="P38" s="89"/>
    </row>
    <row r="39" spans="14:16">
      <c r="P39" s="89"/>
    </row>
    <row r="40" spans="14:16">
      <c r="P40" s="89"/>
    </row>
    <row r="41" spans="14:16">
      <c r="P41" s="89"/>
    </row>
    <row r="42" spans="14:16">
      <c r="P42" s="89"/>
    </row>
    <row r="43" spans="14:16">
      <c r="P43" s="89"/>
    </row>
    <row r="44" spans="14:16">
      <c r="P44" s="89"/>
    </row>
    <row r="45" spans="14:16">
      <c r="P45" s="89"/>
    </row>
    <row r="46" spans="14:16">
      <c r="P46" s="89"/>
    </row>
    <row r="47" spans="14:16">
      <c r="P47" s="89"/>
    </row>
    <row r="48" spans="14:16">
      <c r="P48" s="89"/>
    </row>
    <row r="49" spans="16:16">
      <c r="P49" s="89"/>
    </row>
    <row r="50" spans="16:16">
      <c r="P50" s="89"/>
    </row>
    <row r="51" spans="16:16">
      <c r="P51" s="89"/>
    </row>
    <row r="52" spans="16:16">
      <c r="P52" s="89"/>
    </row>
    <row r="53" spans="16:16">
      <c r="P53" s="89"/>
    </row>
    <row r="54" spans="16:16">
      <c r="P54" s="89"/>
    </row>
    <row r="55" spans="16:16">
      <c r="P55" s="89"/>
    </row>
    <row r="56" spans="16:16">
      <c r="P56" s="89"/>
    </row>
    <row r="57" spans="16:16">
      <c r="P57" s="89"/>
    </row>
    <row r="58" spans="16:16">
      <c r="P58" s="89"/>
    </row>
    <row r="59" spans="16:16">
      <c r="P59" s="89"/>
    </row>
    <row r="60" spans="16:16">
      <c r="P60" s="89"/>
    </row>
    <row r="61" spans="16:16">
      <c r="P61" s="89"/>
    </row>
    <row r="62" spans="16:16">
      <c r="P62" s="89"/>
    </row>
    <row r="63" spans="16:16">
      <c r="P63" s="89"/>
    </row>
    <row r="64" spans="16:16">
      <c r="P64" s="89"/>
    </row>
    <row r="65" spans="16:16">
      <c r="P65" s="89"/>
    </row>
    <row r="66" spans="16:16">
      <c r="P66" s="89"/>
    </row>
    <row r="67" spans="16:16">
      <c r="P67" s="89"/>
    </row>
    <row r="68" spans="16:16">
      <c r="P68" s="89"/>
    </row>
    <row r="69" spans="16:16">
      <c r="P69" s="89"/>
    </row>
    <row r="70" spans="16:16">
      <c r="P70" s="89"/>
    </row>
    <row r="71" spans="16:16">
      <c r="P71" s="89"/>
    </row>
    <row r="72" spans="16:16">
      <c r="P72" s="89"/>
    </row>
    <row r="73" spans="16:16">
      <c r="P73" s="89"/>
    </row>
    <row r="74" spans="16:16">
      <c r="P74" s="89"/>
    </row>
    <row r="75" spans="16:16">
      <c r="P75" s="89"/>
    </row>
    <row r="76" spans="16:16">
      <c r="P76" s="89"/>
    </row>
    <row r="77" spans="16:16">
      <c r="P77" s="89"/>
    </row>
    <row r="78" spans="16:16">
      <c r="P78" s="89"/>
    </row>
    <row r="79" spans="16:16">
      <c r="P79" s="89"/>
    </row>
    <row r="80" spans="16:16">
      <c r="P80" s="89"/>
    </row>
    <row r="81" spans="16:16">
      <c r="P81" s="89"/>
    </row>
    <row r="82" spans="16:16">
      <c r="P82" s="89"/>
    </row>
    <row r="83" spans="16:16">
      <c r="P83" s="89"/>
    </row>
    <row r="84" spans="16:16">
      <c r="P84" s="89"/>
    </row>
    <row r="85" spans="16:16">
      <c r="P85" s="89"/>
    </row>
    <row r="86" spans="16:16">
      <c r="P86" s="89"/>
    </row>
    <row r="87" spans="16:16">
      <c r="P87" s="89"/>
    </row>
    <row r="88" spans="16:16">
      <c r="P88" s="89"/>
    </row>
    <row r="89" spans="16:16">
      <c r="P89" s="89"/>
    </row>
    <row r="90" spans="16:16">
      <c r="P90" s="89"/>
    </row>
    <row r="91" spans="16:16">
      <c r="P91" s="89"/>
    </row>
    <row r="92" spans="16:16">
      <c r="P92" s="89"/>
    </row>
    <row r="93" spans="16:16">
      <c r="P93" s="89"/>
    </row>
    <row r="94" spans="16:16">
      <c r="P94" s="89"/>
    </row>
    <row r="95" spans="16:16">
      <c r="P95" s="89"/>
    </row>
    <row r="96" spans="16:16">
      <c r="P96" s="89"/>
    </row>
    <row r="97" spans="16:16">
      <c r="P97" s="89"/>
    </row>
    <row r="98" spans="16:16">
      <c r="P98" s="89"/>
    </row>
    <row r="99" spans="16:16">
      <c r="P99" s="89"/>
    </row>
    <row r="100" spans="16:16">
      <c r="P100" s="89"/>
    </row>
    <row r="101" spans="16:16">
      <c r="P101" s="89"/>
    </row>
    <row r="102" spans="16:16">
      <c r="P102" s="89"/>
    </row>
    <row r="103" spans="16:16">
      <c r="P103" s="89"/>
    </row>
    <row r="104" spans="16:16">
      <c r="P104" s="89"/>
    </row>
    <row r="105" spans="16:16">
      <c r="P105" s="89"/>
    </row>
    <row r="106" spans="16:16">
      <c r="P106" s="89"/>
    </row>
    <row r="107" spans="16:16">
      <c r="P107" s="89"/>
    </row>
    <row r="108" spans="16:16">
      <c r="P108" s="89"/>
    </row>
    <row r="109" spans="16:16">
      <c r="P109" s="89"/>
    </row>
    <row r="110" spans="16:16">
      <c r="P110" s="89"/>
    </row>
    <row r="111" spans="16:16">
      <c r="P111" s="89"/>
    </row>
    <row r="112" spans="16:16">
      <c r="P112" s="89"/>
    </row>
    <row r="113" spans="16:16">
      <c r="P113" s="89"/>
    </row>
    <row r="114" spans="16:16">
      <c r="P114" s="89"/>
    </row>
    <row r="115" spans="16:16">
      <c r="P115" s="89"/>
    </row>
    <row r="116" spans="16:16">
      <c r="P116" s="89"/>
    </row>
    <row r="117" spans="16:16">
      <c r="P117" s="89"/>
    </row>
    <row r="118" spans="16:16">
      <c r="P118" s="89"/>
    </row>
    <row r="119" spans="16:16">
      <c r="P119" s="89"/>
    </row>
    <row r="120" spans="16:16">
      <c r="P120" s="89"/>
    </row>
    <row r="121" spans="16:16">
      <c r="P121" s="89"/>
    </row>
    <row r="122" spans="16:16">
      <c r="P122" s="89"/>
    </row>
    <row r="123" spans="16:16">
      <c r="P123" s="89"/>
    </row>
    <row r="124" spans="16:16">
      <c r="P124" s="89"/>
    </row>
    <row r="125" spans="16:16">
      <c r="P125" s="89"/>
    </row>
    <row r="126" spans="16:16">
      <c r="P126" s="89"/>
    </row>
    <row r="127" spans="16:16">
      <c r="P127" s="89"/>
    </row>
    <row r="128" spans="16:16">
      <c r="P128" s="89"/>
    </row>
    <row r="129" spans="16:16">
      <c r="P129" s="89"/>
    </row>
    <row r="130" spans="16:16">
      <c r="P130" s="89"/>
    </row>
    <row r="131" spans="16:16">
      <c r="P131" s="89"/>
    </row>
    <row r="132" spans="16:16">
      <c r="P132" s="89"/>
    </row>
    <row r="133" spans="16:16">
      <c r="P133" s="89"/>
    </row>
    <row r="134" spans="16:16">
      <c r="P134" s="89"/>
    </row>
    <row r="135" spans="16:16">
      <c r="P135" s="89"/>
    </row>
    <row r="136" spans="16:16">
      <c r="P136" s="89"/>
    </row>
    <row r="137" spans="16:16">
      <c r="P137" s="89"/>
    </row>
    <row r="138" spans="16:16">
      <c r="P138" s="89"/>
    </row>
    <row r="139" spans="16:16">
      <c r="P139" s="89"/>
    </row>
    <row r="140" spans="16:16">
      <c r="P140" s="89"/>
    </row>
    <row r="141" spans="16:16">
      <c r="P141" s="89"/>
    </row>
    <row r="142" spans="16:16">
      <c r="P142" s="89"/>
    </row>
    <row r="143" spans="16:16">
      <c r="P143" s="89"/>
    </row>
    <row r="144" spans="16:16">
      <c r="P144" s="89"/>
    </row>
    <row r="145" spans="16:16">
      <c r="P145" s="89"/>
    </row>
    <row r="146" spans="16:16">
      <c r="P146" s="89"/>
    </row>
    <row r="147" spans="16:16">
      <c r="P147" s="89"/>
    </row>
    <row r="148" spans="16:16">
      <c r="P148" s="89"/>
    </row>
    <row r="149" spans="16:16">
      <c r="P149" s="89"/>
    </row>
    <row r="150" spans="16:16">
      <c r="P150" s="89"/>
    </row>
    <row r="151" spans="16:16">
      <c r="P151" s="89"/>
    </row>
    <row r="152" spans="16:16">
      <c r="P152" s="89"/>
    </row>
    <row r="153" spans="16:16">
      <c r="P153" s="89"/>
    </row>
    <row r="154" spans="16:16">
      <c r="P154" s="89"/>
    </row>
    <row r="155" spans="16:16">
      <c r="P155" s="89"/>
    </row>
    <row r="156" spans="16:16">
      <c r="P156" s="89"/>
    </row>
    <row r="157" spans="16:16">
      <c r="P157" s="89"/>
    </row>
    <row r="158" spans="16:16">
      <c r="P158" s="89"/>
    </row>
    <row r="159" spans="16:16">
      <c r="P159" s="89"/>
    </row>
    <row r="160" spans="16:16">
      <c r="P160" s="89"/>
    </row>
    <row r="161" spans="16:16">
      <c r="P161" s="89"/>
    </row>
    <row r="162" spans="16:16">
      <c r="P162" s="89"/>
    </row>
    <row r="163" spans="16:16">
      <c r="P163" s="89"/>
    </row>
    <row r="164" spans="16:16">
      <c r="P164" s="89"/>
    </row>
    <row r="165" spans="16:16">
      <c r="P165" s="89"/>
    </row>
    <row r="166" spans="16:16">
      <c r="P166" s="89"/>
    </row>
    <row r="167" spans="16:16">
      <c r="P167" s="89"/>
    </row>
    <row r="168" spans="16:16">
      <c r="P168" s="89"/>
    </row>
    <row r="169" spans="16:16">
      <c r="P169" s="89"/>
    </row>
    <row r="170" spans="16:16">
      <c r="P170" s="89"/>
    </row>
    <row r="171" spans="16:16">
      <c r="P171" s="89"/>
    </row>
    <row r="172" spans="16:16">
      <c r="P172" s="89"/>
    </row>
    <row r="173" spans="16:16">
      <c r="P173" s="89"/>
    </row>
    <row r="174" spans="16:16">
      <c r="P174" s="89"/>
    </row>
    <row r="175" spans="16:16">
      <c r="P175" s="89"/>
    </row>
    <row r="176" spans="16:16">
      <c r="P176" s="89"/>
    </row>
    <row r="177" spans="16:16">
      <c r="P177" s="89"/>
    </row>
    <row r="178" spans="16:16">
      <c r="P178" s="89"/>
    </row>
    <row r="179" spans="16:16">
      <c r="P179" s="89"/>
    </row>
    <row r="180" spans="16:16">
      <c r="P180" s="89"/>
    </row>
    <row r="181" spans="16:16">
      <c r="P181" s="89"/>
    </row>
    <row r="182" spans="16:16">
      <c r="P182" s="89"/>
    </row>
    <row r="183" spans="16:16">
      <c r="P183" s="89"/>
    </row>
    <row r="184" spans="16:16">
      <c r="P184" s="89"/>
    </row>
    <row r="185" spans="16:16">
      <c r="P185" s="89"/>
    </row>
    <row r="186" spans="16:16">
      <c r="P186" s="89"/>
    </row>
    <row r="187" spans="16:16">
      <c r="P187" s="89"/>
    </row>
    <row r="188" spans="16:16">
      <c r="P188" s="89"/>
    </row>
    <row r="189" spans="16:16">
      <c r="P189" s="89"/>
    </row>
    <row r="190" spans="16:16">
      <c r="P190" s="89"/>
    </row>
    <row r="191" spans="16:16">
      <c r="P191" s="89"/>
    </row>
    <row r="192" spans="16:16">
      <c r="P192" s="89"/>
    </row>
    <row r="193" spans="16:16">
      <c r="P193" s="89"/>
    </row>
    <row r="194" spans="16:16">
      <c r="P194" s="89"/>
    </row>
    <row r="195" spans="16:16">
      <c r="P195" s="89"/>
    </row>
    <row r="196" spans="16:16">
      <c r="P196" s="89"/>
    </row>
    <row r="197" spans="16:16">
      <c r="P197" s="89"/>
    </row>
    <row r="198" spans="16:16">
      <c r="P198" s="89"/>
    </row>
    <row r="199" spans="16:16">
      <c r="P199" s="89"/>
    </row>
    <row r="200" spans="16:16">
      <c r="P200" s="89"/>
    </row>
    <row r="201" spans="16:16">
      <c r="P201" s="89"/>
    </row>
    <row r="202" spans="16:16">
      <c r="P202" s="89"/>
    </row>
    <row r="203" spans="16:16">
      <c r="P203" s="89"/>
    </row>
    <row r="204" spans="16:16">
      <c r="P204" s="89"/>
    </row>
    <row r="205" spans="16:16">
      <c r="P205" s="89"/>
    </row>
    <row r="206" spans="16:16">
      <c r="P206" s="89"/>
    </row>
    <row r="207" spans="16:16">
      <c r="P207" s="89"/>
    </row>
    <row r="208" spans="16:16">
      <c r="P208" s="89"/>
    </row>
    <row r="209" spans="16:16">
      <c r="P209" s="89"/>
    </row>
    <row r="210" spans="16:16">
      <c r="P210" s="89"/>
    </row>
    <row r="211" spans="16:16">
      <c r="P211" s="89"/>
    </row>
    <row r="212" spans="16:16">
      <c r="P212" s="89"/>
    </row>
    <row r="213" spans="16:16">
      <c r="P213" s="89"/>
    </row>
    <row r="214" spans="16:16">
      <c r="P214" s="89"/>
    </row>
    <row r="215" spans="16:16">
      <c r="P215" s="89"/>
    </row>
    <row r="216" spans="16:16">
      <c r="P216" s="89"/>
    </row>
    <row r="217" spans="16:16">
      <c r="P217" s="89"/>
    </row>
    <row r="218" spans="16:16">
      <c r="P218" s="89"/>
    </row>
    <row r="219" spans="16:16">
      <c r="P219" s="89"/>
    </row>
    <row r="220" spans="16:16">
      <c r="P220" s="89"/>
    </row>
    <row r="221" spans="16:16">
      <c r="P221" s="89"/>
    </row>
    <row r="222" spans="16:16">
      <c r="P222" s="89"/>
    </row>
    <row r="223" spans="16:16">
      <c r="P223" s="89"/>
    </row>
    <row r="224" spans="16:16">
      <c r="P224" s="89"/>
    </row>
    <row r="225" spans="16:16">
      <c r="P225" s="89"/>
    </row>
    <row r="226" spans="16:16">
      <c r="P226" s="89"/>
    </row>
    <row r="227" spans="16:16">
      <c r="P227" s="89"/>
    </row>
    <row r="228" spans="16:16">
      <c r="P228" s="89"/>
    </row>
    <row r="229" spans="16:16">
      <c r="P229" s="89"/>
    </row>
    <row r="230" spans="16:16">
      <c r="P230" s="89"/>
    </row>
    <row r="231" spans="16:16">
      <c r="P231" s="89"/>
    </row>
    <row r="232" spans="16:16">
      <c r="P232" s="89"/>
    </row>
    <row r="233" spans="16:16">
      <c r="P233" s="89"/>
    </row>
    <row r="234" spans="16:16">
      <c r="P234" s="89"/>
    </row>
    <row r="235" spans="16:16">
      <c r="P235" s="89"/>
    </row>
    <row r="236" spans="16:16">
      <c r="P236" s="89"/>
    </row>
    <row r="237" spans="16:16">
      <c r="P237" s="89"/>
    </row>
    <row r="238" spans="16:16">
      <c r="P238" s="89"/>
    </row>
    <row r="239" spans="16:16">
      <c r="P239" s="89"/>
    </row>
    <row r="240" spans="16:16">
      <c r="P240" s="89"/>
    </row>
    <row r="241" spans="16:16">
      <c r="P241" s="89"/>
    </row>
    <row r="242" spans="16:16">
      <c r="P242" s="89"/>
    </row>
    <row r="243" spans="16:16">
      <c r="P243" s="89"/>
    </row>
    <row r="244" spans="16:16">
      <c r="P244" s="89"/>
    </row>
    <row r="245" spans="16:16">
      <c r="P245" s="89"/>
    </row>
    <row r="246" spans="16:16">
      <c r="P246" s="89"/>
    </row>
    <row r="247" spans="16:16">
      <c r="P247" s="89"/>
    </row>
    <row r="248" spans="16:16">
      <c r="P248" s="89"/>
    </row>
    <row r="249" spans="16:16">
      <c r="P249" s="89"/>
    </row>
    <row r="250" spans="16:16">
      <c r="P250" s="89"/>
    </row>
    <row r="251" spans="16:16">
      <c r="P251" s="89"/>
    </row>
    <row r="252" spans="16:16">
      <c r="P252" s="89"/>
    </row>
    <row r="253" spans="16:16">
      <c r="P253" s="89"/>
    </row>
    <row r="254" spans="16:16">
      <c r="P254" s="89"/>
    </row>
    <row r="255" spans="16:16">
      <c r="P255" s="89"/>
    </row>
    <row r="256" spans="16:16">
      <c r="P256" s="89"/>
    </row>
    <row r="257" spans="16:16">
      <c r="P257" s="89"/>
    </row>
    <row r="258" spans="16:16">
      <c r="P258" s="89"/>
    </row>
    <row r="259" spans="16:16">
      <c r="P259" s="89"/>
    </row>
    <row r="260" spans="16:16">
      <c r="P260" s="89"/>
    </row>
    <row r="261" spans="16:16">
      <c r="P261" s="89"/>
    </row>
    <row r="262" spans="16:16">
      <c r="P262" s="89"/>
    </row>
    <row r="263" spans="16:16">
      <c r="P263" s="89"/>
    </row>
    <row r="264" spans="16:16">
      <c r="P264" s="89"/>
    </row>
    <row r="265" spans="16:16">
      <c r="P265" s="89"/>
    </row>
    <row r="266" spans="16:16">
      <c r="P266" s="89"/>
    </row>
    <row r="267" spans="16:16">
      <c r="P267" s="89"/>
    </row>
    <row r="268" spans="16:16">
      <c r="P268" s="89"/>
    </row>
    <row r="269" spans="16:16">
      <c r="P269" s="89"/>
    </row>
    <row r="270" spans="16:16">
      <c r="P270" s="89"/>
    </row>
    <row r="271" spans="16:16">
      <c r="P271" s="89"/>
    </row>
    <row r="272" spans="16:16">
      <c r="P272" s="89"/>
    </row>
    <row r="273" spans="16:16">
      <c r="P273" s="89"/>
    </row>
    <row r="274" spans="16:16">
      <c r="P274" s="89"/>
    </row>
    <row r="275" spans="16:16">
      <c r="P275" s="89"/>
    </row>
    <row r="276" spans="16:16">
      <c r="P276" s="89"/>
    </row>
    <row r="277" spans="16:16">
      <c r="P277" s="89"/>
    </row>
    <row r="278" spans="16:16">
      <c r="P278" s="89"/>
    </row>
    <row r="279" spans="16:16">
      <c r="P279" s="89"/>
    </row>
    <row r="280" spans="16:16">
      <c r="P280" s="89"/>
    </row>
    <row r="281" spans="16:16">
      <c r="P281" s="89"/>
    </row>
    <row r="282" spans="16:16">
      <c r="P282" s="89"/>
    </row>
    <row r="283" spans="16:16">
      <c r="P283" s="89"/>
    </row>
    <row r="284" spans="16:16">
      <c r="P284" s="89"/>
    </row>
    <row r="285" spans="16:16">
      <c r="P285" s="89"/>
    </row>
    <row r="286" spans="16:16">
      <c r="P286" s="89"/>
    </row>
    <row r="287" spans="16:16">
      <c r="P287" s="89"/>
    </row>
    <row r="288" spans="16:16">
      <c r="P288" s="89"/>
    </row>
    <row r="289" spans="16:16">
      <c r="P289" s="89"/>
    </row>
    <row r="290" spans="16:16">
      <c r="P290" s="89"/>
    </row>
    <row r="291" spans="16:16">
      <c r="P291" s="89"/>
    </row>
    <row r="292" spans="16:16">
      <c r="P292" s="89"/>
    </row>
    <row r="293" spans="16:16">
      <c r="P293" s="89"/>
    </row>
    <row r="294" spans="16:16">
      <c r="P294" s="89"/>
    </row>
    <row r="295" spans="16:16">
      <c r="P295" s="89"/>
    </row>
    <row r="296" spans="16:16">
      <c r="P296" s="89"/>
    </row>
    <row r="297" spans="16:16">
      <c r="P297" s="89"/>
    </row>
    <row r="298" spans="16:16">
      <c r="P298" s="89"/>
    </row>
    <row r="299" spans="16:16">
      <c r="P299" s="89"/>
    </row>
    <row r="300" spans="16:16">
      <c r="P300" s="89"/>
    </row>
    <row r="301" spans="16:16">
      <c r="P301" s="89"/>
    </row>
    <row r="302" spans="16:16">
      <c r="P302" s="89"/>
    </row>
    <row r="303" spans="16:16">
      <c r="P303" s="89"/>
    </row>
    <row r="304" spans="16:16">
      <c r="P304" s="89"/>
    </row>
    <row r="305" spans="16:16">
      <c r="P305" s="89"/>
    </row>
    <row r="306" spans="16:16">
      <c r="P306" s="89"/>
    </row>
    <row r="307" spans="16:16">
      <c r="P307" s="89"/>
    </row>
    <row r="308" spans="16:16">
      <c r="P308" s="89"/>
    </row>
    <row r="309" spans="16:16">
      <c r="P309" s="89"/>
    </row>
    <row r="310" spans="16:16">
      <c r="P310" s="89"/>
    </row>
    <row r="311" spans="16:16">
      <c r="P311" s="89"/>
    </row>
    <row r="312" spans="16:16">
      <c r="P312" s="89"/>
    </row>
    <row r="313" spans="16:16">
      <c r="P313" s="89"/>
    </row>
    <row r="314" spans="16:16">
      <c r="P314" s="89"/>
    </row>
    <row r="315" spans="16:16">
      <c r="P315" s="89"/>
    </row>
    <row r="316" spans="16:16">
      <c r="P316" s="89"/>
    </row>
    <row r="317" spans="16:16">
      <c r="P317" s="89"/>
    </row>
    <row r="318" spans="16:16">
      <c r="P318" s="89"/>
    </row>
    <row r="319" spans="16:16">
      <c r="P319" s="89"/>
    </row>
    <row r="320" spans="16:16">
      <c r="P320" s="89"/>
    </row>
    <row r="321" spans="16:16">
      <c r="P321" s="89"/>
    </row>
    <row r="322" spans="16:16">
      <c r="P322" s="89"/>
    </row>
    <row r="323" spans="16:16">
      <c r="P323" s="89"/>
    </row>
    <row r="324" spans="16:16">
      <c r="P324" s="89"/>
    </row>
    <row r="325" spans="16:16">
      <c r="P325" s="89"/>
    </row>
    <row r="326" spans="16:16">
      <c r="P326" s="89"/>
    </row>
    <row r="327" spans="16:16">
      <c r="P327" s="89"/>
    </row>
    <row r="328" spans="16:16">
      <c r="P328" s="89"/>
    </row>
    <row r="329" spans="16:16">
      <c r="P329" s="89"/>
    </row>
    <row r="330" spans="16:16">
      <c r="P330" s="89"/>
    </row>
    <row r="331" spans="16:16">
      <c r="P331" s="89"/>
    </row>
    <row r="332" spans="16:16">
      <c r="P332" s="89"/>
    </row>
    <row r="333" spans="16:16">
      <c r="P333" s="89"/>
    </row>
    <row r="334" spans="16:16">
      <c r="P334" s="89"/>
    </row>
    <row r="335" spans="16:16">
      <c r="P335" s="89"/>
    </row>
    <row r="336" spans="16:16">
      <c r="P336" s="89"/>
    </row>
    <row r="337" spans="16:16">
      <c r="P337" s="89"/>
    </row>
    <row r="338" spans="16:16">
      <c r="P338" s="89"/>
    </row>
    <row r="339" spans="16:16">
      <c r="P339" s="89"/>
    </row>
    <row r="340" spans="16:16">
      <c r="P340" s="89"/>
    </row>
    <row r="341" spans="16:16">
      <c r="P341" s="89"/>
    </row>
    <row r="342" spans="16:16">
      <c r="P342" s="89"/>
    </row>
    <row r="343" spans="16:16">
      <c r="P343" s="89"/>
    </row>
    <row r="344" spans="16:16">
      <c r="P344" s="89"/>
    </row>
    <row r="345" spans="16:16">
      <c r="P345" s="89"/>
    </row>
    <row r="346" spans="16:16">
      <c r="P346" s="89"/>
    </row>
    <row r="347" spans="16:16">
      <c r="P347" s="89"/>
    </row>
    <row r="348" spans="16:16">
      <c r="P348" s="89"/>
    </row>
    <row r="349" spans="16:16">
      <c r="P349" s="89"/>
    </row>
    <row r="350" spans="16:16">
      <c r="P350" s="89"/>
    </row>
    <row r="351" spans="16:16">
      <c r="P351" s="89"/>
    </row>
    <row r="352" spans="16:16">
      <c r="P352" s="89"/>
    </row>
    <row r="353" spans="16:16">
      <c r="P353" s="89"/>
    </row>
    <row r="354" spans="16:16">
      <c r="P354" s="89"/>
    </row>
    <row r="355" spans="16:16">
      <c r="P355" s="89"/>
    </row>
    <row r="356" spans="16:16">
      <c r="P356" s="89"/>
    </row>
    <row r="357" spans="16:16">
      <c r="P357" s="89"/>
    </row>
    <row r="358" spans="16:16">
      <c r="P358" s="89"/>
    </row>
    <row r="359" spans="16:16">
      <c r="P359" s="89"/>
    </row>
    <row r="360" spans="16:16">
      <c r="P360" s="89"/>
    </row>
    <row r="361" spans="16:16">
      <c r="P361" s="89"/>
    </row>
    <row r="362" spans="16:16">
      <c r="P362" s="89"/>
    </row>
    <row r="363" spans="16:16">
      <c r="P363" s="89"/>
    </row>
    <row r="364" spans="16:16">
      <c r="P364" s="89"/>
    </row>
    <row r="365" spans="16:16">
      <c r="P365" s="89"/>
    </row>
    <row r="366" spans="16:16">
      <c r="P366" s="89"/>
    </row>
    <row r="367" spans="16:16">
      <c r="P367" s="89"/>
    </row>
    <row r="368" spans="16:16">
      <c r="P368" s="89"/>
    </row>
    <row r="369" spans="16:16">
      <c r="P369" s="89"/>
    </row>
    <row r="370" spans="16:16">
      <c r="P370" s="89"/>
    </row>
    <row r="371" spans="16:16">
      <c r="P371" s="89"/>
    </row>
    <row r="372" spans="16:16">
      <c r="P372" s="89"/>
    </row>
    <row r="373" spans="16:16">
      <c r="P373" s="89"/>
    </row>
    <row r="374" spans="16:16">
      <c r="P374" s="89"/>
    </row>
    <row r="375" spans="16:16">
      <c r="P375" s="89"/>
    </row>
    <row r="376" spans="16:16">
      <c r="P376" s="89"/>
    </row>
    <row r="377" spans="16:16">
      <c r="P377" s="89"/>
    </row>
    <row r="378" spans="16:16">
      <c r="P378" s="89"/>
    </row>
    <row r="379" spans="16:16">
      <c r="P379" s="89"/>
    </row>
    <row r="380" spans="16:16">
      <c r="P380" s="89"/>
    </row>
    <row r="381" spans="16:16">
      <c r="P381" s="89"/>
    </row>
    <row r="382" spans="16:16">
      <c r="P382" s="89"/>
    </row>
    <row r="383" spans="16:16">
      <c r="P383" s="89"/>
    </row>
    <row r="384" spans="16:16">
      <c r="P384" s="89"/>
    </row>
    <row r="385" spans="16:16">
      <c r="P385" s="89"/>
    </row>
    <row r="386" spans="16:16">
      <c r="P386" s="89"/>
    </row>
    <row r="387" spans="16:16">
      <c r="P387" s="89"/>
    </row>
    <row r="388" spans="16:16">
      <c r="P388" s="89"/>
    </row>
    <row r="389" spans="16:16">
      <c r="P389" s="89"/>
    </row>
    <row r="390" spans="16:16">
      <c r="P390" s="89"/>
    </row>
    <row r="391" spans="16:16">
      <c r="P391" s="89"/>
    </row>
    <row r="392" spans="16:16">
      <c r="P392" s="89"/>
    </row>
    <row r="393" spans="16:16">
      <c r="P393" s="89"/>
    </row>
    <row r="394" spans="16:16">
      <c r="P394" s="89"/>
    </row>
    <row r="395" spans="16:16">
      <c r="P395" s="89"/>
    </row>
    <row r="396" spans="16:16">
      <c r="P396" s="89"/>
    </row>
    <row r="397" spans="16:16">
      <c r="P397" s="89"/>
    </row>
    <row r="398" spans="16:16">
      <c r="P398" s="89"/>
    </row>
    <row r="399" spans="16:16">
      <c r="P399" s="89"/>
    </row>
    <row r="400" spans="16:16">
      <c r="P400" s="89"/>
    </row>
    <row r="401" spans="16:16">
      <c r="P401" s="89"/>
    </row>
    <row r="402" spans="16:16">
      <c r="P402" s="89"/>
    </row>
    <row r="403" spans="16:16">
      <c r="P403" s="89"/>
    </row>
    <row r="404" spans="16:16">
      <c r="P404" s="89"/>
    </row>
    <row r="405" spans="16:16">
      <c r="P405" s="89"/>
    </row>
    <row r="406" spans="16:16">
      <c r="P406" s="89"/>
    </row>
    <row r="407" spans="16:16">
      <c r="P407" s="89"/>
    </row>
    <row r="408" spans="16:16">
      <c r="P408" s="89"/>
    </row>
    <row r="409" spans="16:16">
      <c r="P409" s="89"/>
    </row>
    <row r="410" spans="16:16">
      <c r="P410" s="89"/>
    </row>
    <row r="411" spans="16:16">
      <c r="P411" s="89"/>
    </row>
    <row r="412" spans="16:16">
      <c r="P412" s="89"/>
    </row>
    <row r="413" spans="16:16">
      <c r="P413" s="89"/>
    </row>
    <row r="414" spans="16:16">
      <c r="P414" s="89"/>
    </row>
    <row r="415" spans="16:16">
      <c r="P415" s="89"/>
    </row>
    <row r="416" spans="16:16">
      <c r="P416" s="89"/>
    </row>
    <row r="417" spans="16:16">
      <c r="P417" s="89"/>
    </row>
    <row r="418" spans="16:16">
      <c r="P418" s="89"/>
    </row>
    <row r="419" spans="16:16">
      <c r="P419" s="89"/>
    </row>
    <row r="420" spans="16:16">
      <c r="P420" s="89"/>
    </row>
    <row r="421" spans="16:16">
      <c r="P421" s="89"/>
    </row>
    <row r="422" spans="16:16">
      <c r="P422" s="89"/>
    </row>
    <row r="423" spans="16:16">
      <c r="P423" s="89"/>
    </row>
    <row r="424" spans="16:16">
      <c r="P424" s="89"/>
    </row>
    <row r="425" spans="16:16">
      <c r="P425" s="89"/>
    </row>
    <row r="426" spans="16:16">
      <c r="P426" s="89"/>
    </row>
    <row r="427" spans="16:16">
      <c r="P427" s="89"/>
    </row>
    <row r="428" spans="16:16">
      <c r="P428" s="89"/>
    </row>
    <row r="429" spans="16:16">
      <c r="P429" s="89"/>
    </row>
    <row r="430" spans="16:16">
      <c r="P430" s="89"/>
    </row>
    <row r="431" spans="16:16">
      <c r="P431" s="89"/>
    </row>
    <row r="432" spans="16:16">
      <c r="P432" s="89"/>
    </row>
    <row r="433" spans="16:16">
      <c r="P433" s="89"/>
    </row>
    <row r="434" spans="16:16">
      <c r="P434" s="89"/>
    </row>
    <row r="435" spans="16:16">
      <c r="P435" s="89"/>
    </row>
    <row r="436" spans="16:16">
      <c r="P436" s="89"/>
    </row>
    <row r="437" spans="16:16">
      <c r="P437" s="89"/>
    </row>
    <row r="438" spans="16:16">
      <c r="P438" s="89"/>
    </row>
    <row r="439" spans="16:16">
      <c r="P439" s="89"/>
    </row>
    <row r="440" spans="16:16">
      <c r="P440" s="89"/>
    </row>
    <row r="441" spans="16:16">
      <c r="P441" s="89"/>
    </row>
    <row r="442" spans="16:16">
      <c r="P442" s="89"/>
    </row>
    <row r="443" spans="16:16">
      <c r="P443" s="89"/>
    </row>
    <row r="444" spans="16:16">
      <c r="P444" s="89"/>
    </row>
    <row r="445" spans="16:16">
      <c r="P445" s="89"/>
    </row>
    <row r="446" spans="16:16">
      <c r="P446" s="89"/>
    </row>
    <row r="447" spans="16:16">
      <c r="P447" s="89"/>
    </row>
    <row r="448" spans="16:16">
      <c r="P448" s="89"/>
    </row>
    <row r="449" spans="16:16">
      <c r="P449" s="89"/>
    </row>
    <row r="450" spans="16:16">
      <c r="P450" s="89"/>
    </row>
    <row r="451" spans="16:16">
      <c r="P451" s="89"/>
    </row>
    <row r="452" spans="16:16">
      <c r="P452" s="89"/>
    </row>
    <row r="453" spans="16:16">
      <c r="P453" s="89"/>
    </row>
    <row r="454" spans="16:16">
      <c r="P454" s="89"/>
    </row>
    <row r="455" spans="16:16">
      <c r="P455" s="89"/>
    </row>
    <row r="456" spans="16:16">
      <c r="P456" s="89"/>
    </row>
    <row r="457" spans="16:16">
      <c r="P457" s="89"/>
    </row>
    <row r="458" spans="16:16">
      <c r="P458" s="89"/>
    </row>
    <row r="459" spans="16:16">
      <c r="P459" s="89"/>
    </row>
    <row r="460" spans="16:16">
      <c r="P460" s="89"/>
    </row>
    <row r="461" spans="16:16">
      <c r="P461" s="89"/>
    </row>
    <row r="462" spans="16:16">
      <c r="P462" s="89"/>
    </row>
    <row r="463" spans="16:16">
      <c r="P463" s="89"/>
    </row>
    <row r="464" spans="16:16">
      <c r="P464" s="89"/>
    </row>
    <row r="465" spans="16:16">
      <c r="P465" s="89"/>
    </row>
    <row r="466" spans="16:16">
      <c r="P466" s="89"/>
    </row>
    <row r="467" spans="16:16">
      <c r="P467" s="89"/>
    </row>
    <row r="468" spans="16:16">
      <c r="P468" s="89"/>
    </row>
    <row r="469" spans="16:16">
      <c r="P469" s="89"/>
    </row>
    <row r="470" spans="16:16">
      <c r="P470" s="89"/>
    </row>
    <row r="471" spans="16:16">
      <c r="P471" s="89"/>
    </row>
    <row r="472" spans="16:16">
      <c r="P472" s="89"/>
    </row>
    <row r="473" spans="16:16">
      <c r="P473" s="89"/>
    </row>
    <row r="474" spans="16:16">
      <c r="P474" s="89"/>
    </row>
    <row r="475" spans="16:16">
      <c r="P475" s="89"/>
    </row>
    <row r="476" spans="16:16">
      <c r="P476" s="89"/>
    </row>
    <row r="477" spans="16:16">
      <c r="P477" s="89"/>
    </row>
    <row r="478" spans="16:16">
      <c r="P478" s="89"/>
    </row>
    <row r="479" spans="16:16">
      <c r="P479" s="89"/>
    </row>
    <row r="480" spans="16:16">
      <c r="P480" s="89"/>
    </row>
    <row r="481" spans="16:16">
      <c r="P481" s="89"/>
    </row>
    <row r="482" spans="16:16">
      <c r="P482" s="89"/>
    </row>
    <row r="483" spans="16:16">
      <c r="P483" s="89"/>
    </row>
    <row r="484" spans="16:16">
      <c r="P484" s="89"/>
    </row>
    <row r="485" spans="16:16">
      <c r="P485" s="89"/>
    </row>
    <row r="486" spans="16:16">
      <c r="P486" s="89"/>
    </row>
    <row r="487" spans="16:16">
      <c r="P487" s="89"/>
    </row>
    <row r="488" spans="16:16">
      <c r="P488" s="89"/>
    </row>
    <row r="489" spans="16:16">
      <c r="P489" s="89"/>
    </row>
    <row r="490" spans="16:16">
      <c r="P490" s="89"/>
    </row>
    <row r="491" spans="16:16">
      <c r="P491" s="89"/>
    </row>
    <row r="492" spans="16:16">
      <c r="P492" s="89"/>
    </row>
    <row r="493" spans="16:16">
      <c r="P493" s="89"/>
    </row>
    <row r="494" spans="16:16">
      <c r="P494" s="89"/>
    </row>
    <row r="495" spans="16:16">
      <c r="P495" s="89"/>
    </row>
    <row r="496" spans="16:16">
      <c r="P496" s="89"/>
    </row>
    <row r="497" spans="16:16">
      <c r="P497" s="89"/>
    </row>
    <row r="498" spans="16:16">
      <c r="P498" s="89"/>
    </row>
    <row r="499" spans="16:16">
      <c r="P499" s="89"/>
    </row>
    <row r="500" spans="16:16">
      <c r="P500" s="89"/>
    </row>
    <row r="501" spans="16:16">
      <c r="P501" s="89"/>
    </row>
    <row r="502" spans="16:16">
      <c r="P502" s="89"/>
    </row>
    <row r="503" spans="16:16">
      <c r="P503" s="89"/>
    </row>
    <row r="504" spans="16:16">
      <c r="P504" s="89"/>
    </row>
    <row r="505" spans="16:16">
      <c r="P505" s="89"/>
    </row>
    <row r="506" spans="16:16">
      <c r="P506" s="89"/>
    </row>
    <row r="507" spans="16:16">
      <c r="P507" s="89"/>
    </row>
    <row r="508" spans="16:16">
      <c r="P508" s="89"/>
    </row>
    <row r="509" spans="16:16">
      <c r="P509" s="89"/>
    </row>
    <row r="510" spans="16:16">
      <c r="P510" s="89"/>
    </row>
    <row r="511" spans="16:16">
      <c r="P511" s="89"/>
    </row>
    <row r="512" spans="16:16">
      <c r="P512" s="89"/>
    </row>
    <row r="513" spans="16:16">
      <c r="P513" s="89"/>
    </row>
    <row r="514" spans="16:16">
      <c r="P514" s="89"/>
    </row>
    <row r="515" spans="16:16">
      <c r="P515" s="89"/>
    </row>
    <row r="516" spans="16:16">
      <c r="P516" s="89"/>
    </row>
    <row r="517" spans="16:16">
      <c r="P517" s="89"/>
    </row>
    <row r="518" spans="16:16">
      <c r="P518" s="89"/>
    </row>
    <row r="519" spans="16:16">
      <c r="P519" s="89"/>
    </row>
    <row r="520" spans="16:16">
      <c r="P520" s="89"/>
    </row>
    <row r="521" spans="16:16">
      <c r="P521" s="89"/>
    </row>
    <row r="522" spans="16:16">
      <c r="P522" s="89"/>
    </row>
    <row r="523" spans="16:16">
      <c r="P523" s="89"/>
    </row>
    <row r="524" spans="16:16">
      <c r="P524" s="89"/>
    </row>
    <row r="525" spans="16:16">
      <c r="P525" s="89"/>
    </row>
    <row r="526" spans="16:16">
      <c r="P526" s="89"/>
    </row>
    <row r="527" spans="16:16">
      <c r="P527" s="89"/>
    </row>
    <row r="528" spans="16:16">
      <c r="P528" s="89"/>
    </row>
    <row r="529" spans="16:16">
      <c r="P529" s="89"/>
    </row>
    <row r="530" spans="16:16">
      <c r="P530" s="89"/>
    </row>
    <row r="531" spans="16:16">
      <c r="P531" s="89"/>
    </row>
    <row r="532" spans="16:16">
      <c r="P532" s="89"/>
    </row>
    <row r="533" spans="16:16">
      <c r="P533" s="89"/>
    </row>
    <row r="534" spans="16:16">
      <c r="P534" s="89"/>
    </row>
    <row r="535" spans="16:16">
      <c r="P535" s="89"/>
    </row>
    <row r="536" spans="16:16">
      <c r="P536" s="89"/>
    </row>
    <row r="537" spans="16:16">
      <c r="P537" s="89"/>
    </row>
    <row r="538" spans="16:16">
      <c r="P538" s="89"/>
    </row>
    <row r="539" spans="16:16">
      <c r="P539" s="89"/>
    </row>
    <row r="540" spans="16:16">
      <c r="P540" s="89"/>
    </row>
    <row r="541" spans="16:16">
      <c r="P541" s="89"/>
    </row>
    <row r="542" spans="16:16">
      <c r="P542" s="89"/>
    </row>
    <row r="543" spans="16:16">
      <c r="P543" s="89"/>
    </row>
    <row r="544" spans="16:16">
      <c r="P544" s="89"/>
    </row>
    <row r="545" spans="16:16">
      <c r="P545" s="89"/>
    </row>
    <row r="546" spans="16:16">
      <c r="P546" s="89"/>
    </row>
    <row r="547" spans="16:16">
      <c r="P547" s="89"/>
    </row>
    <row r="548" spans="16:16">
      <c r="P548" s="89"/>
    </row>
    <row r="549" spans="16:16">
      <c r="P549" s="89"/>
    </row>
    <row r="550" spans="16:16">
      <c r="P550" s="89"/>
    </row>
    <row r="551" spans="16:16">
      <c r="P551" s="89"/>
    </row>
    <row r="552" spans="16:16">
      <c r="P552" s="89"/>
    </row>
    <row r="553" spans="16:16">
      <c r="P553" s="89"/>
    </row>
    <row r="554" spans="16:16">
      <c r="P554" s="89"/>
    </row>
    <row r="555" spans="16:16">
      <c r="P555" s="89"/>
    </row>
    <row r="556" spans="16:16">
      <c r="P556" s="89"/>
    </row>
    <row r="557" spans="16:16">
      <c r="P557" s="89"/>
    </row>
    <row r="558" spans="16:16">
      <c r="P558" s="89"/>
    </row>
    <row r="559" spans="16:16">
      <c r="P559" s="89"/>
    </row>
    <row r="560" spans="16:16">
      <c r="P560" s="89"/>
    </row>
    <row r="561" spans="16:16">
      <c r="P561" s="89"/>
    </row>
    <row r="562" spans="16:16">
      <c r="P562" s="89"/>
    </row>
    <row r="563" spans="16:16">
      <c r="P563" s="89"/>
    </row>
    <row r="564" spans="16:16">
      <c r="P564" s="89"/>
    </row>
    <row r="565" spans="16:16">
      <c r="P565" s="89"/>
    </row>
    <row r="566" spans="16:16">
      <c r="P566" s="89"/>
    </row>
    <row r="567" spans="16:16">
      <c r="P567" s="89"/>
    </row>
    <row r="568" spans="16:16">
      <c r="P568" s="89"/>
    </row>
    <row r="569" spans="16:16">
      <c r="P569" s="89"/>
    </row>
    <row r="570" spans="16:16">
      <c r="P570" s="89"/>
    </row>
    <row r="571" spans="16:16">
      <c r="P571" s="89"/>
    </row>
    <row r="572" spans="16:16">
      <c r="P572" s="89"/>
    </row>
    <row r="573" spans="16:16">
      <c r="P573" s="89"/>
    </row>
    <row r="574" spans="16:16">
      <c r="P574" s="89"/>
    </row>
    <row r="575" spans="16:16">
      <c r="P575" s="89"/>
    </row>
    <row r="576" spans="16:16">
      <c r="P576" s="89"/>
    </row>
    <row r="577" spans="16:16">
      <c r="P577" s="89"/>
    </row>
    <row r="578" spans="16:16">
      <c r="P578" s="89"/>
    </row>
    <row r="579" spans="16:16">
      <c r="P579" s="89"/>
    </row>
    <row r="580" spans="16:16">
      <c r="P580" s="89"/>
    </row>
    <row r="581" spans="16:16">
      <c r="P581" s="89"/>
    </row>
    <row r="582" spans="16:16">
      <c r="P582" s="89"/>
    </row>
    <row r="583" spans="16:16">
      <c r="P583" s="89"/>
    </row>
    <row r="584" spans="16:16">
      <c r="P584" s="89"/>
    </row>
    <row r="585" spans="16:16">
      <c r="P585" s="89"/>
    </row>
    <row r="586" spans="16:16">
      <c r="P586" s="89"/>
    </row>
    <row r="587" spans="16:16">
      <c r="P587" s="89"/>
    </row>
    <row r="588" spans="16:16">
      <c r="P588" s="89"/>
    </row>
    <row r="589" spans="16:16">
      <c r="P589" s="89"/>
    </row>
    <row r="590" spans="16:16">
      <c r="P590" s="89"/>
    </row>
    <row r="591" spans="16:16">
      <c r="P591" s="89"/>
    </row>
    <row r="592" spans="16:16">
      <c r="P592" s="89"/>
    </row>
    <row r="593" spans="16:16">
      <c r="P593" s="89"/>
    </row>
    <row r="594" spans="16:16">
      <c r="P594" s="89"/>
    </row>
    <row r="595" spans="16:16">
      <c r="P595" s="89"/>
    </row>
    <row r="596" spans="16:16">
      <c r="P596" s="89"/>
    </row>
    <row r="597" spans="16:16">
      <c r="P597" s="89"/>
    </row>
    <row r="598" spans="16:16">
      <c r="P598" s="89"/>
    </row>
    <row r="599" spans="16:16">
      <c r="P599" s="89"/>
    </row>
    <row r="600" spans="16:16">
      <c r="P600" s="89"/>
    </row>
    <row r="601" spans="16:16">
      <c r="P601" s="89"/>
    </row>
    <row r="602" spans="16:16">
      <c r="P602" s="89"/>
    </row>
    <row r="603" spans="16:16">
      <c r="P603" s="89"/>
    </row>
    <row r="604" spans="16:16">
      <c r="P604" s="89"/>
    </row>
    <row r="605" spans="16:16">
      <c r="P605" s="89"/>
    </row>
    <row r="606" spans="16:16">
      <c r="P606" s="89"/>
    </row>
    <row r="607" spans="16:16">
      <c r="P607" s="89"/>
    </row>
    <row r="608" spans="16:16">
      <c r="P608" s="89"/>
    </row>
    <row r="609" spans="16:16">
      <c r="P609" s="89"/>
    </row>
    <row r="610" spans="16:16">
      <c r="P610" s="89"/>
    </row>
    <row r="611" spans="16:16">
      <c r="P611" s="89"/>
    </row>
    <row r="612" spans="16:16">
      <c r="P612" s="89"/>
    </row>
    <row r="613" spans="16:16">
      <c r="P613" s="89"/>
    </row>
    <row r="614" spans="16:16">
      <c r="P614" s="89"/>
    </row>
    <row r="615" spans="16:16">
      <c r="P615" s="89"/>
    </row>
    <row r="616" spans="16:16">
      <c r="P616" s="89"/>
    </row>
    <row r="617" spans="16:16">
      <c r="P617" s="89"/>
    </row>
    <row r="618" spans="16:16">
      <c r="P618" s="89"/>
    </row>
    <row r="619" spans="16:16">
      <c r="P619" s="89"/>
    </row>
    <row r="620" spans="16:16">
      <c r="P620" s="89"/>
    </row>
    <row r="621" spans="16:16">
      <c r="P621" s="89"/>
    </row>
    <row r="622" spans="16:16">
      <c r="P622" s="89"/>
    </row>
    <row r="623" spans="16:16">
      <c r="P623" s="89"/>
    </row>
    <row r="624" spans="16:16">
      <c r="P624" s="89"/>
    </row>
    <row r="625" spans="16:16">
      <c r="P625" s="89"/>
    </row>
    <row r="626" spans="16:16">
      <c r="P626" s="89"/>
    </row>
    <row r="627" spans="16:16">
      <c r="P627" s="89"/>
    </row>
    <row r="628" spans="16:16">
      <c r="P628" s="89"/>
    </row>
    <row r="629" spans="16:16">
      <c r="P629" s="89"/>
    </row>
    <row r="630" spans="16:16">
      <c r="P630" s="89"/>
    </row>
    <row r="631" spans="16:16">
      <c r="P631" s="89"/>
    </row>
    <row r="632" spans="16:16">
      <c r="P632" s="89"/>
    </row>
    <row r="633" spans="16:16">
      <c r="P633" s="89"/>
    </row>
    <row r="634" spans="16:16">
      <c r="P634" s="89"/>
    </row>
    <row r="635" spans="16:16">
      <c r="P635" s="89"/>
    </row>
    <row r="636" spans="16:16">
      <c r="P636" s="89"/>
    </row>
    <row r="637" spans="16:16">
      <c r="P637" s="89"/>
    </row>
    <row r="638" spans="16:16">
      <c r="P638" s="89"/>
    </row>
    <row r="639" spans="16:16">
      <c r="P639" s="89"/>
    </row>
    <row r="640" spans="16:16">
      <c r="P640" s="89"/>
    </row>
    <row r="641" spans="16:16">
      <c r="P641" s="89"/>
    </row>
    <row r="642" spans="16:16">
      <c r="P642" s="89"/>
    </row>
    <row r="643" spans="16:16">
      <c r="P643" s="89"/>
    </row>
    <row r="644" spans="16:16">
      <c r="P644" s="89"/>
    </row>
    <row r="645" spans="16:16">
      <c r="P645" s="89"/>
    </row>
    <row r="646" spans="16:16">
      <c r="P646" s="89"/>
    </row>
    <row r="647" spans="16:16">
      <c r="P647" s="89"/>
    </row>
    <row r="648" spans="16:16">
      <c r="P648" s="89"/>
    </row>
    <row r="649" spans="16:16">
      <c r="P649" s="89"/>
    </row>
    <row r="650" spans="16:16">
      <c r="P650" s="89"/>
    </row>
    <row r="651" spans="16:16">
      <c r="P651" s="89"/>
    </row>
    <row r="652" spans="16:16">
      <c r="P652" s="89"/>
    </row>
    <row r="653" spans="16:16">
      <c r="P653" s="89"/>
    </row>
    <row r="654" spans="16:16">
      <c r="P654" s="89"/>
    </row>
    <row r="655" spans="16:16">
      <c r="P655" s="89"/>
    </row>
    <row r="656" spans="16:16">
      <c r="P656" s="89"/>
    </row>
    <row r="657" spans="16:16">
      <c r="P657" s="89"/>
    </row>
    <row r="658" spans="16:16">
      <c r="P658" s="89"/>
    </row>
    <row r="659" spans="16:16">
      <c r="P659" s="89"/>
    </row>
    <row r="660" spans="16:16">
      <c r="P660" s="89"/>
    </row>
    <row r="661" spans="16:16">
      <c r="P661" s="89"/>
    </row>
    <row r="662" spans="16:16">
      <c r="P662" s="89"/>
    </row>
    <row r="663" spans="16:16">
      <c r="P663" s="89"/>
    </row>
    <row r="664" spans="16:16">
      <c r="P664" s="89"/>
    </row>
    <row r="665" spans="16:16">
      <c r="P665" s="89"/>
    </row>
    <row r="666" spans="16:16">
      <c r="P666" s="89"/>
    </row>
    <row r="667" spans="16:16">
      <c r="P667" s="89"/>
    </row>
    <row r="668" spans="16:16">
      <c r="P668" s="89"/>
    </row>
    <row r="669" spans="16:16">
      <c r="P669" s="89"/>
    </row>
    <row r="670" spans="16:16">
      <c r="P670" s="89"/>
    </row>
    <row r="671" spans="16:16">
      <c r="P671" s="89"/>
    </row>
    <row r="672" spans="16:16">
      <c r="P672" s="89"/>
    </row>
    <row r="673" spans="16:16">
      <c r="P673" s="89"/>
    </row>
    <row r="674" spans="16:16">
      <c r="P674" s="89"/>
    </row>
    <row r="675" spans="16:16">
      <c r="P675" s="89"/>
    </row>
    <row r="676" spans="16:16">
      <c r="P676" s="89"/>
    </row>
    <row r="677" spans="16:16">
      <c r="P677" s="89"/>
    </row>
    <row r="678" spans="16:16">
      <c r="P678" s="89"/>
    </row>
    <row r="679" spans="16:16">
      <c r="P679" s="89"/>
    </row>
    <row r="680" spans="16:16">
      <c r="P680" s="89"/>
    </row>
    <row r="681" spans="16:16">
      <c r="P681" s="89"/>
    </row>
    <row r="682" spans="16:16">
      <c r="P682" s="89"/>
    </row>
    <row r="683" spans="16:16">
      <c r="P683" s="89"/>
    </row>
    <row r="684" spans="16:16">
      <c r="P684" s="89"/>
    </row>
    <row r="685" spans="16:16">
      <c r="P685" s="89"/>
    </row>
    <row r="686" spans="16:16">
      <c r="P686" s="89"/>
    </row>
    <row r="687" spans="16:16">
      <c r="P687" s="89"/>
    </row>
    <row r="688" spans="16:16">
      <c r="P688" s="89"/>
    </row>
    <row r="689" spans="16:16">
      <c r="P689" s="89"/>
    </row>
    <row r="690" spans="16:16">
      <c r="P690" s="89"/>
    </row>
    <row r="691" spans="16:16">
      <c r="P691" s="89"/>
    </row>
    <row r="692" spans="16:16">
      <c r="P692" s="89"/>
    </row>
    <row r="693" spans="16:16">
      <c r="P693" s="89"/>
    </row>
    <row r="694" spans="16:16">
      <c r="P694" s="89"/>
    </row>
    <row r="695" spans="16:16">
      <c r="P695" s="89"/>
    </row>
    <row r="696" spans="16:16">
      <c r="P696" s="89"/>
    </row>
    <row r="697" spans="16:16">
      <c r="P697" s="89"/>
    </row>
    <row r="698" spans="16:16">
      <c r="P698" s="89"/>
    </row>
    <row r="699" spans="16:16">
      <c r="P699" s="89"/>
    </row>
    <row r="700" spans="16:16">
      <c r="P700" s="89"/>
    </row>
    <row r="701" spans="16:16">
      <c r="P701" s="89"/>
    </row>
    <row r="702" spans="16:16">
      <c r="P702" s="89"/>
    </row>
    <row r="703" spans="16:16">
      <c r="P703" s="89"/>
    </row>
    <row r="704" spans="16:16">
      <c r="P704" s="89"/>
    </row>
    <row r="705" spans="16:16">
      <c r="P705" s="89"/>
    </row>
    <row r="706" spans="16:16">
      <c r="P706" s="89"/>
    </row>
    <row r="707" spans="16:16">
      <c r="P707" s="89"/>
    </row>
    <row r="708" spans="16:16">
      <c r="P708" s="89"/>
    </row>
    <row r="709" spans="16:16">
      <c r="P709" s="89"/>
    </row>
    <row r="710" spans="16:16">
      <c r="P710" s="89"/>
    </row>
    <row r="711" spans="16:16">
      <c r="P711" s="89"/>
    </row>
    <row r="712" spans="16:16">
      <c r="P712" s="89"/>
    </row>
    <row r="713" spans="16:16">
      <c r="P713" s="89"/>
    </row>
    <row r="714" spans="16:16">
      <c r="P714" s="89"/>
    </row>
    <row r="715" spans="16:16">
      <c r="P715" s="89"/>
    </row>
    <row r="716" spans="16:16">
      <c r="P716" s="89"/>
    </row>
    <row r="717" spans="16:16">
      <c r="P717" s="89"/>
    </row>
    <row r="718" spans="16:16">
      <c r="P718" s="89"/>
    </row>
    <row r="719" spans="16:16">
      <c r="P719" s="89"/>
    </row>
    <row r="720" spans="16:16">
      <c r="P720" s="89"/>
    </row>
    <row r="721" spans="16:16">
      <c r="P721" s="89"/>
    </row>
    <row r="722" spans="16:16">
      <c r="P722" s="89"/>
    </row>
    <row r="723" spans="16:16">
      <c r="P723" s="89"/>
    </row>
    <row r="724" spans="16:16">
      <c r="P724" s="89"/>
    </row>
    <row r="725" spans="16:16">
      <c r="P725" s="89"/>
    </row>
    <row r="726" spans="16:16">
      <c r="P726" s="89"/>
    </row>
    <row r="727" spans="16:16">
      <c r="P727" s="89"/>
    </row>
    <row r="728" spans="16:16">
      <c r="P728" s="89"/>
    </row>
    <row r="729" spans="16:16">
      <c r="P729" s="89"/>
    </row>
    <row r="730" spans="16:16">
      <c r="P730" s="89"/>
    </row>
    <row r="731" spans="16:16">
      <c r="P731" s="89"/>
    </row>
    <row r="732" spans="16:16">
      <c r="P732" s="89"/>
    </row>
    <row r="733" spans="16:16">
      <c r="P733" s="89"/>
    </row>
    <row r="734" spans="16:16">
      <c r="P734" s="89"/>
    </row>
    <row r="735" spans="16:16">
      <c r="P735" s="89"/>
    </row>
    <row r="736" spans="16:16">
      <c r="P736" s="89"/>
    </row>
    <row r="737" spans="16:16">
      <c r="P737" s="89"/>
    </row>
    <row r="738" spans="16:16">
      <c r="P738" s="89"/>
    </row>
    <row r="739" spans="16:16">
      <c r="P739" s="89"/>
    </row>
    <row r="740" spans="16:16">
      <c r="P740" s="89"/>
    </row>
    <row r="741" spans="16:16">
      <c r="P741" s="89"/>
    </row>
    <row r="742" spans="16:16">
      <c r="P742" s="89"/>
    </row>
    <row r="743" spans="16:16">
      <c r="P743" s="89"/>
    </row>
    <row r="744" spans="16:16">
      <c r="P744" s="89"/>
    </row>
    <row r="745" spans="16:16">
      <c r="P745" s="89"/>
    </row>
    <row r="746" spans="16:16">
      <c r="P746" s="89"/>
    </row>
    <row r="747" spans="16:16">
      <c r="P747" s="89"/>
    </row>
    <row r="748" spans="16:16">
      <c r="P748" s="89"/>
    </row>
    <row r="749" spans="16:16">
      <c r="P749" s="89"/>
    </row>
    <row r="750" spans="16:16">
      <c r="P750" s="89"/>
    </row>
    <row r="751" spans="16:16">
      <c r="P751" s="89"/>
    </row>
    <row r="752" spans="16:16">
      <c r="P752" s="89"/>
    </row>
    <row r="753" spans="16:16">
      <c r="P753" s="89"/>
    </row>
    <row r="754" spans="16:16">
      <c r="P754" s="89"/>
    </row>
    <row r="755" spans="16:16">
      <c r="P755" s="89"/>
    </row>
    <row r="756" spans="16:16">
      <c r="P756" s="89"/>
    </row>
    <row r="757" spans="16:16">
      <c r="P757" s="89"/>
    </row>
    <row r="758" spans="16:16">
      <c r="P758" s="89"/>
    </row>
    <row r="759" spans="16:16">
      <c r="P759" s="89"/>
    </row>
    <row r="760" spans="16:16">
      <c r="P760" s="89"/>
    </row>
    <row r="761" spans="16:16">
      <c r="P761" s="89"/>
    </row>
    <row r="762" spans="16:16">
      <c r="P762" s="89"/>
    </row>
    <row r="763" spans="16:16">
      <c r="P763" s="89"/>
    </row>
    <row r="764" spans="16:16">
      <c r="P764" s="89"/>
    </row>
    <row r="765" spans="16:16">
      <c r="P765" s="89"/>
    </row>
    <row r="766" spans="16:16">
      <c r="P766" s="89"/>
    </row>
    <row r="767" spans="16:16">
      <c r="P767" s="89"/>
    </row>
    <row r="768" spans="16:16">
      <c r="P768" s="89"/>
    </row>
    <row r="769" spans="16:16">
      <c r="P769" s="89"/>
    </row>
    <row r="770" spans="16:16">
      <c r="P770" s="89"/>
    </row>
    <row r="771" spans="16:16">
      <c r="P771" s="89"/>
    </row>
    <row r="772" spans="16:16">
      <c r="P772" s="89"/>
    </row>
    <row r="773" spans="16:16">
      <c r="P773" s="89"/>
    </row>
    <row r="774" spans="16:16">
      <c r="P774" s="89"/>
    </row>
    <row r="775" spans="16:16">
      <c r="P775" s="89"/>
    </row>
    <row r="776" spans="16:16">
      <c r="P776" s="89"/>
    </row>
    <row r="777" spans="16:16">
      <c r="P777" s="89"/>
    </row>
    <row r="778" spans="16:16">
      <c r="P778" s="89"/>
    </row>
    <row r="779" spans="16:16">
      <c r="P779" s="89"/>
    </row>
    <row r="780" spans="16:16">
      <c r="P780" s="89"/>
    </row>
    <row r="781" spans="16:16">
      <c r="P781" s="89"/>
    </row>
    <row r="782" spans="16:16">
      <c r="P782" s="89"/>
    </row>
    <row r="783" spans="16:16">
      <c r="P783" s="89"/>
    </row>
    <row r="784" spans="16:16">
      <c r="P784" s="89"/>
    </row>
    <row r="785" spans="16:16">
      <c r="P785" s="89"/>
    </row>
    <row r="786" spans="16:16">
      <c r="P786" s="89"/>
    </row>
    <row r="787" spans="16:16">
      <c r="P787" s="89"/>
    </row>
    <row r="788" spans="16:16">
      <c r="P788" s="89"/>
    </row>
    <row r="789" spans="16:16">
      <c r="P789" s="89"/>
    </row>
    <row r="790" spans="16:16">
      <c r="P790" s="89"/>
    </row>
    <row r="791" spans="16:16">
      <c r="P791" s="89"/>
    </row>
    <row r="792" spans="16:16">
      <c r="P792" s="89"/>
    </row>
    <row r="793" spans="16:16">
      <c r="P793" s="89"/>
    </row>
    <row r="794" spans="16:16">
      <c r="P794" s="89"/>
    </row>
    <row r="795" spans="16:16">
      <c r="P795" s="89"/>
    </row>
    <row r="796" spans="16:16">
      <c r="P796" s="89"/>
    </row>
    <row r="797" spans="16:16">
      <c r="P797" s="89"/>
    </row>
    <row r="798" spans="16:16">
      <c r="P798" s="89"/>
    </row>
    <row r="799" spans="16:16">
      <c r="P799" s="89"/>
    </row>
    <row r="800" spans="16:16">
      <c r="P800" s="89"/>
    </row>
    <row r="801" spans="16:16">
      <c r="P801" s="89"/>
    </row>
    <row r="802" spans="16:16">
      <c r="P802" s="89"/>
    </row>
    <row r="803" spans="16:16">
      <c r="P803" s="89"/>
    </row>
    <row r="804" spans="16:16">
      <c r="P804" s="89"/>
    </row>
    <row r="805" spans="16:16">
      <c r="P805" s="89"/>
    </row>
    <row r="806" spans="16:16">
      <c r="P806" s="89"/>
    </row>
    <row r="807" spans="16:16">
      <c r="P807" s="89"/>
    </row>
    <row r="808" spans="16:16">
      <c r="P808" s="89"/>
    </row>
    <row r="809" spans="16:16">
      <c r="P809" s="89"/>
    </row>
    <row r="810" spans="16:16">
      <c r="P810" s="89"/>
    </row>
    <row r="811" spans="16:16">
      <c r="P811" s="89"/>
    </row>
    <row r="812" spans="16:16">
      <c r="P812" s="89"/>
    </row>
    <row r="813" spans="16:16">
      <c r="P813" s="89"/>
    </row>
    <row r="814" spans="16:16">
      <c r="P814" s="89"/>
    </row>
    <row r="815" spans="16:16">
      <c r="P815" s="89"/>
    </row>
    <row r="816" spans="16:16">
      <c r="P816" s="89"/>
    </row>
    <row r="817" spans="16:16">
      <c r="P817" s="89"/>
    </row>
    <row r="818" spans="16:16">
      <c r="P818" s="89"/>
    </row>
    <row r="819" spans="16:16">
      <c r="P819" s="89"/>
    </row>
    <row r="820" spans="16:16">
      <c r="P820" s="89"/>
    </row>
    <row r="821" spans="16:16">
      <c r="P821" s="89"/>
    </row>
    <row r="822" spans="16:16">
      <c r="P822" s="89"/>
    </row>
    <row r="823" spans="16:16">
      <c r="P823" s="89"/>
    </row>
    <row r="824" spans="16:16">
      <c r="P824" s="89"/>
    </row>
    <row r="825" spans="16:16">
      <c r="P825" s="89"/>
    </row>
    <row r="826" spans="16:16">
      <c r="P826" s="89"/>
    </row>
    <row r="827" spans="16:16">
      <c r="P827" s="89"/>
    </row>
    <row r="828" spans="16:16">
      <c r="P828" s="89"/>
    </row>
    <row r="829" spans="16:16">
      <c r="P829" s="89"/>
    </row>
    <row r="830" spans="16:16">
      <c r="P830" s="89"/>
    </row>
    <row r="831" spans="16:16">
      <c r="P831" s="89"/>
    </row>
    <row r="832" spans="16:16">
      <c r="P832" s="89"/>
    </row>
    <row r="833" spans="16:16">
      <c r="P833" s="89"/>
    </row>
    <row r="834" spans="16:16">
      <c r="P834" s="89"/>
    </row>
    <row r="835" spans="16:16">
      <c r="P835" s="89"/>
    </row>
    <row r="836" spans="16:16">
      <c r="P836" s="89"/>
    </row>
    <row r="837" spans="16:16">
      <c r="P837" s="89"/>
    </row>
    <row r="838" spans="16:16">
      <c r="P838" s="89"/>
    </row>
    <row r="839" spans="16:16">
      <c r="P839" s="89"/>
    </row>
    <row r="840" spans="16:16">
      <c r="P840" s="89"/>
    </row>
    <row r="841" spans="16:16">
      <c r="P841" s="89"/>
    </row>
    <row r="842" spans="16:16">
      <c r="P842" s="89"/>
    </row>
    <row r="843" spans="16:16">
      <c r="P843" s="89"/>
    </row>
    <row r="844" spans="16:16">
      <c r="P844" s="89"/>
    </row>
    <row r="845" spans="16:16">
      <c r="P845" s="89"/>
    </row>
    <row r="846" spans="16:16">
      <c r="P846" s="89"/>
    </row>
    <row r="847" spans="16:16">
      <c r="P847" s="89"/>
    </row>
    <row r="848" spans="16:16">
      <c r="P848" s="89"/>
    </row>
    <row r="849" spans="16:16">
      <c r="P849" s="89"/>
    </row>
    <row r="850" spans="16:16">
      <c r="P850" s="89"/>
    </row>
    <row r="851" spans="16:16">
      <c r="P851" s="89"/>
    </row>
    <row r="852" spans="16:16">
      <c r="P852" s="89"/>
    </row>
    <row r="853" spans="16:16">
      <c r="P853" s="89"/>
    </row>
    <row r="854" spans="16:16">
      <c r="P854" s="89"/>
    </row>
    <row r="855" spans="16:16">
      <c r="P855" s="89"/>
    </row>
    <row r="856" spans="16:16">
      <c r="P856" s="89"/>
    </row>
    <row r="857" spans="16:16">
      <c r="P857" s="89"/>
    </row>
    <row r="858" spans="16:16">
      <c r="P858" s="89"/>
    </row>
    <row r="859" spans="16:16">
      <c r="P859" s="89"/>
    </row>
    <row r="860" spans="16:16">
      <c r="P860" s="89"/>
    </row>
    <row r="861" spans="16:16">
      <c r="P861" s="89"/>
    </row>
    <row r="862" spans="16:16">
      <c r="P862" s="89"/>
    </row>
    <row r="863" spans="16:16">
      <c r="P863" s="89"/>
    </row>
    <row r="864" spans="16:16">
      <c r="P864" s="89"/>
    </row>
    <row r="865" spans="16:16">
      <c r="P865" s="89"/>
    </row>
    <row r="866" spans="16:16">
      <c r="P866" s="89"/>
    </row>
    <row r="867" spans="16:16">
      <c r="P867" s="89"/>
    </row>
    <row r="868" spans="16:16">
      <c r="P868" s="89"/>
    </row>
    <row r="869" spans="16:16">
      <c r="P869" s="89"/>
    </row>
    <row r="870" spans="16:16">
      <c r="P870" s="89"/>
    </row>
    <row r="871" spans="16:16">
      <c r="P871" s="89"/>
    </row>
    <row r="872" spans="16:16">
      <c r="P872" s="89"/>
    </row>
    <row r="873" spans="16:16">
      <c r="P873" s="89"/>
    </row>
    <row r="874" spans="16:16">
      <c r="P874" s="89"/>
    </row>
    <row r="875" spans="16:16">
      <c r="P875" s="89"/>
    </row>
    <row r="876" spans="16:16">
      <c r="P876" s="89"/>
    </row>
    <row r="877" spans="16:16">
      <c r="P877" s="89"/>
    </row>
    <row r="878" spans="16:16">
      <c r="P878" s="89"/>
    </row>
    <row r="879" spans="16:16">
      <c r="P879" s="89"/>
    </row>
    <row r="880" spans="16:16">
      <c r="P880" s="89"/>
    </row>
    <row r="881" spans="16:16">
      <c r="P881" s="89"/>
    </row>
    <row r="882" spans="16:16">
      <c r="P882" s="89"/>
    </row>
    <row r="883" spans="16:16">
      <c r="P883" s="89"/>
    </row>
    <row r="884" spans="16:16">
      <c r="P884" s="89"/>
    </row>
    <row r="885" spans="16:16">
      <c r="P885" s="89"/>
    </row>
    <row r="886" spans="16:16">
      <c r="P886" s="89"/>
    </row>
    <row r="887" spans="16:16">
      <c r="P887" s="89"/>
    </row>
    <row r="888" spans="16:16">
      <c r="P888" s="89"/>
    </row>
    <row r="889" spans="16:16">
      <c r="P889" s="89"/>
    </row>
    <row r="890" spans="16:16">
      <c r="P890" s="89"/>
    </row>
    <row r="891" spans="16:16">
      <c r="P891" s="89"/>
    </row>
    <row r="892" spans="16:16">
      <c r="P892" s="89"/>
    </row>
    <row r="893" spans="16:16">
      <c r="P893" s="89"/>
    </row>
    <row r="894" spans="16:16">
      <c r="P894" s="89"/>
    </row>
    <row r="895" spans="16:16">
      <c r="P895" s="89"/>
    </row>
    <row r="896" spans="16:16">
      <c r="P896" s="89"/>
    </row>
    <row r="897" spans="16:16">
      <c r="P897" s="89"/>
    </row>
    <row r="898" spans="16:16">
      <c r="P898" s="89"/>
    </row>
    <row r="899" spans="16:16">
      <c r="P899" s="89"/>
    </row>
    <row r="900" spans="16:16">
      <c r="P900" s="89"/>
    </row>
    <row r="901" spans="16:16">
      <c r="P901" s="89"/>
    </row>
    <row r="902" spans="16:16">
      <c r="P902" s="89"/>
    </row>
    <row r="903" spans="16:16">
      <c r="P903" s="89"/>
    </row>
    <row r="904" spans="16:16">
      <c r="P904" s="89"/>
    </row>
    <row r="905" spans="16:16">
      <c r="P905" s="89"/>
    </row>
    <row r="906" spans="16:16">
      <c r="P906" s="89"/>
    </row>
    <row r="907" spans="16:16">
      <c r="P907" s="89"/>
    </row>
    <row r="908" spans="16:16">
      <c r="P908" s="89"/>
    </row>
    <row r="909" spans="16:16">
      <c r="P909" s="89"/>
    </row>
    <row r="910" spans="16:16">
      <c r="P910" s="89"/>
    </row>
    <row r="911" spans="16:16">
      <c r="P911" s="89"/>
    </row>
    <row r="912" spans="16:16">
      <c r="P912" s="89"/>
    </row>
    <row r="913" spans="16:16">
      <c r="P913" s="89"/>
    </row>
    <row r="914" spans="16:16">
      <c r="P914" s="89"/>
    </row>
    <row r="915" spans="16:16">
      <c r="P915" s="89"/>
    </row>
    <row r="916" spans="16:16">
      <c r="P916" s="89"/>
    </row>
    <row r="917" spans="16:16">
      <c r="P917" s="89"/>
    </row>
    <row r="918" spans="16:16">
      <c r="P918" s="89"/>
    </row>
    <row r="919" spans="16:16">
      <c r="P919" s="89"/>
    </row>
    <row r="920" spans="16:16">
      <c r="P920" s="89"/>
    </row>
    <row r="921" spans="16:16">
      <c r="P921" s="89"/>
    </row>
    <row r="922" spans="16:16">
      <c r="P922" s="89"/>
    </row>
    <row r="923" spans="16:16">
      <c r="P923" s="89"/>
    </row>
    <row r="924" spans="16:16">
      <c r="P924" s="89"/>
    </row>
    <row r="925" spans="16:16">
      <c r="P925" s="89"/>
    </row>
    <row r="926" spans="16:16">
      <c r="P926" s="89"/>
    </row>
    <row r="927" spans="16:16">
      <c r="P927" s="89"/>
    </row>
    <row r="928" spans="16:16">
      <c r="P928" s="89"/>
    </row>
    <row r="929" spans="16:16">
      <c r="P929" s="89"/>
    </row>
    <row r="930" spans="16:16">
      <c r="P930" s="89"/>
    </row>
    <row r="931" spans="16:16">
      <c r="P931" s="89"/>
    </row>
    <row r="932" spans="16:16">
      <c r="P932" s="89"/>
    </row>
    <row r="933" spans="16:16">
      <c r="P933" s="89"/>
    </row>
    <row r="934" spans="16:16">
      <c r="P934" s="89"/>
    </row>
    <row r="935" spans="16:16">
      <c r="P935" s="89"/>
    </row>
    <row r="936" spans="16:16">
      <c r="P936" s="89"/>
    </row>
    <row r="937" spans="16:16">
      <c r="P937" s="89"/>
    </row>
    <row r="938" spans="16:16">
      <c r="P938" s="89"/>
    </row>
    <row r="939" spans="16:16">
      <c r="P939" s="89"/>
    </row>
    <row r="940" spans="16:16">
      <c r="P940" s="89"/>
    </row>
    <row r="941" spans="16:16">
      <c r="P941" s="89"/>
    </row>
    <row r="942" spans="16:16">
      <c r="P942" s="89"/>
    </row>
    <row r="943" spans="16:16">
      <c r="P943" s="89"/>
    </row>
    <row r="944" spans="16:16">
      <c r="P944" s="89"/>
    </row>
    <row r="945" spans="16:16">
      <c r="P945" s="89"/>
    </row>
    <row r="946" spans="16:16">
      <c r="P946" s="89"/>
    </row>
    <row r="947" spans="16:16">
      <c r="P947" s="89"/>
    </row>
    <row r="948" spans="16:16">
      <c r="P948" s="89"/>
    </row>
    <row r="949" spans="16:16">
      <c r="P949" s="89"/>
    </row>
    <row r="950" spans="16:16">
      <c r="P950" s="89"/>
    </row>
    <row r="951" spans="16:16">
      <c r="P951" s="89"/>
    </row>
    <row r="952" spans="16:16">
      <c r="P952" s="89"/>
    </row>
    <row r="953" spans="16:16">
      <c r="P953" s="89"/>
    </row>
    <row r="954" spans="16:16">
      <c r="P954" s="89"/>
    </row>
    <row r="955" spans="16:16">
      <c r="P955" s="89"/>
    </row>
    <row r="956" spans="16:16">
      <c r="P956" s="89"/>
    </row>
    <row r="957" spans="16:16">
      <c r="P957" s="89"/>
    </row>
    <row r="958" spans="16:16">
      <c r="P958" s="89"/>
    </row>
    <row r="959" spans="16:16">
      <c r="P959" s="89"/>
    </row>
    <row r="960" spans="16:16">
      <c r="P960" s="89"/>
    </row>
    <row r="961" spans="16:16">
      <c r="P961" s="89"/>
    </row>
    <row r="962" spans="16:16">
      <c r="P962" s="89"/>
    </row>
    <row r="963" spans="16:16">
      <c r="P963" s="89"/>
    </row>
    <row r="964" spans="16:16">
      <c r="P964" s="89"/>
    </row>
    <row r="965" spans="16:16">
      <c r="P965" s="89"/>
    </row>
    <row r="966" spans="16:16">
      <c r="P966" s="89"/>
    </row>
    <row r="967" spans="16:16">
      <c r="P967" s="89"/>
    </row>
    <row r="968" spans="16:16">
      <c r="P968" s="89"/>
    </row>
    <row r="969" spans="16:16">
      <c r="P969" s="89"/>
    </row>
    <row r="970" spans="16:16">
      <c r="P970" s="89"/>
    </row>
    <row r="971" spans="16:16">
      <c r="P971" s="89"/>
    </row>
    <row r="972" spans="16:16">
      <c r="P972" s="89"/>
    </row>
    <row r="973" spans="16:16">
      <c r="P973" s="89"/>
    </row>
    <row r="974" spans="16:16">
      <c r="P974" s="89"/>
    </row>
    <row r="975" spans="16:16">
      <c r="P975" s="89"/>
    </row>
    <row r="976" spans="16:16">
      <c r="P976" s="89"/>
    </row>
    <row r="977" spans="16:16">
      <c r="P977" s="89"/>
    </row>
    <row r="978" spans="16:16">
      <c r="P978" s="89"/>
    </row>
    <row r="979" spans="16:16">
      <c r="P979" s="89"/>
    </row>
    <row r="980" spans="16:16">
      <c r="P980" s="89"/>
    </row>
    <row r="981" spans="16:16">
      <c r="P981" s="89"/>
    </row>
    <row r="982" spans="16:16">
      <c r="P982" s="89"/>
    </row>
    <row r="983" spans="16:16">
      <c r="P983" s="89"/>
    </row>
    <row r="984" spans="16:16">
      <c r="P984" s="89"/>
    </row>
    <row r="985" spans="16:16">
      <c r="P985" s="89"/>
    </row>
    <row r="986" spans="16:16">
      <c r="P986" s="89"/>
    </row>
    <row r="987" spans="16:16">
      <c r="P987" s="89"/>
    </row>
    <row r="988" spans="16:16">
      <c r="P988" s="89"/>
    </row>
    <row r="989" spans="16:16">
      <c r="P989" s="89"/>
    </row>
    <row r="990" spans="16:16">
      <c r="P990" s="89"/>
    </row>
    <row r="991" spans="16:16">
      <c r="P991" s="89"/>
    </row>
    <row r="992" spans="16:16">
      <c r="P992" s="89"/>
    </row>
    <row r="993" spans="16:16">
      <c r="P993" s="89"/>
    </row>
    <row r="994" spans="16:16">
      <c r="P994" s="89"/>
    </row>
    <row r="995" spans="16:16">
      <c r="P995" s="89"/>
    </row>
    <row r="996" spans="16:16">
      <c r="P996" s="89"/>
    </row>
    <row r="997" spans="16:16">
      <c r="P997" s="89"/>
    </row>
    <row r="998" spans="16:16">
      <c r="P998" s="89"/>
    </row>
    <row r="999" spans="16:16">
      <c r="P999" s="89"/>
    </row>
    <row r="1000" spans="16:16">
      <c r="P1000" s="89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S1000"/>
  <sheetViews>
    <sheetView workbookViewId="0"/>
  </sheetViews>
  <sheetFormatPr defaultColWidth="12.6640625" defaultRowHeight="15.75" customHeight="1"/>
  <sheetData>
    <row r="1" spans="1:19">
      <c r="A1" s="90" t="s">
        <v>130</v>
      </c>
      <c r="B1" s="90" t="s">
        <v>131</v>
      </c>
      <c r="C1" s="91" t="s">
        <v>132</v>
      </c>
      <c r="E1" s="106" t="s">
        <v>133</v>
      </c>
      <c r="F1" s="106" t="s">
        <v>132</v>
      </c>
      <c r="G1" s="119"/>
      <c r="H1" s="119"/>
      <c r="I1" s="119"/>
      <c r="J1" s="120"/>
      <c r="L1" s="117" t="s">
        <v>132</v>
      </c>
      <c r="M1" s="118" t="s">
        <v>218</v>
      </c>
      <c r="R1" s="106" t="s">
        <v>131</v>
      </c>
      <c r="S1" s="107" t="s">
        <v>133</v>
      </c>
    </row>
    <row r="2" spans="1:19">
      <c r="A2" s="79" t="s">
        <v>135</v>
      </c>
      <c r="B2" s="79" t="s">
        <v>136</v>
      </c>
      <c r="C2" s="89">
        <v>14500</v>
      </c>
      <c r="E2" s="106" t="s">
        <v>131</v>
      </c>
      <c r="F2" s="121" t="s">
        <v>219</v>
      </c>
      <c r="G2" s="122" t="s">
        <v>220</v>
      </c>
      <c r="H2" s="122" t="s">
        <v>221</v>
      </c>
      <c r="I2" s="122" t="s">
        <v>222</v>
      </c>
      <c r="J2" s="123" t="s">
        <v>63</v>
      </c>
      <c r="R2" s="108" t="s">
        <v>137</v>
      </c>
      <c r="S2" s="109">
        <v>18</v>
      </c>
    </row>
    <row r="3" spans="1:19">
      <c r="A3" s="79" t="s">
        <v>138</v>
      </c>
      <c r="B3" s="79" t="s">
        <v>139</v>
      </c>
      <c r="C3" s="89">
        <v>6700</v>
      </c>
      <c r="E3" s="108" t="s">
        <v>137</v>
      </c>
      <c r="F3" s="124">
        <v>9</v>
      </c>
      <c r="G3" s="125"/>
      <c r="H3" s="125"/>
      <c r="I3" s="125">
        <v>9</v>
      </c>
      <c r="J3" s="109">
        <v>18</v>
      </c>
      <c r="L3" s="106" t="s">
        <v>131</v>
      </c>
      <c r="M3" s="107" t="s">
        <v>134</v>
      </c>
      <c r="R3" s="110" t="s">
        <v>139</v>
      </c>
      <c r="S3" s="111">
        <v>24</v>
      </c>
    </row>
    <row r="4" spans="1:19">
      <c r="A4" s="79" t="s">
        <v>140</v>
      </c>
      <c r="B4" s="79" t="s">
        <v>137</v>
      </c>
      <c r="C4" s="89">
        <v>8200</v>
      </c>
      <c r="E4" s="110" t="s">
        <v>139</v>
      </c>
      <c r="F4" s="126"/>
      <c r="G4" s="127">
        <v>14</v>
      </c>
      <c r="H4" s="127">
        <v>9</v>
      </c>
      <c r="I4" s="127">
        <v>1</v>
      </c>
      <c r="J4" s="111">
        <v>24</v>
      </c>
      <c r="L4" s="108" t="s">
        <v>137</v>
      </c>
      <c r="M4" s="109">
        <v>5566.666666666667</v>
      </c>
      <c r="R4" s="110" t="s">
        <v>141</v>
      </c>
      <c r="S4" s="111">
        <v>20</v>
      </c>
    </row>
    <row r="5" spans="1:19">
      <c r="A5" s="79" t="s">
        <v>142</v>
      </c>
      <c r="B5" s="79" t="s">
        <v>141</v>
      </c>
      <c r="C5" s="89">
        <v>11000</v>
      </c>
      <c r="E5" s="110" t="s">
        <v>141</v>
      </c>
      <c r="F5" s="126"/>
      <c r="G5" s="127">
        <v>11</v>
      </c>
      <c r="H5" s="127">
        <v>3</v>
      </c>
      <c r="I5" s="127">
        <v>6</v>
      </c>
      <c r="J5" s="111">
        <v>20</v>
      </c>
      <c r="L5" s="110" t="s">
        <v>139</v>
      </c>
      <c r="M5" s="111">
        <v>14075</v>
      </c>
      <c r="R5" s="110" t="s">
        <v>136</v>
      </c>
      <c r="S5" s="111">
        <v>21</v>
      </c>
    </row>
    <row r="6" spans="1:19">
      <c r="A6" s="79" t="s">
        <v>143</v>
      </c>
      <c r="B6" s="79" t="s">
        <v>144</v>
      </c>
      <c r="C6" s="89">
        <v>3000</v>
      </c>
      <c r="E6" s="110" t="s">
        <v>136</v>
      </c>
      <c r="F6" s="126">
        <v>3</v>
      </c>
      <c r="G6" s="127">
        <v>6</v>
      </c>
      <c r="H6" s="127"/>
      <c r="I6" s="127">
        <v>12</v>
      </c>
      <c r="J6" s="111">
        <v>21</v>
      </c>
      <c r="L6" s="110" t="s">
        <v>141</v>
      </c>
      <c r="M6" s="111">
        <v>12010</v>
      </c>
      <c r="R6" s="110" t="s">
        <v>144</v>
      </c>
      <c r="S6" s="111">
        <v>12</v>
      </c>
    </row>
    <row r="7" spans="1:19">
      <c r="A7" s="79" t="s">
        <v>135</v>
      </c>
      <c r="B7" s="79" t="s">
        <v>141</v>
      </c>
      <c r="C7" s="89">
        <v>15500</v>
      </c>
      <c r="E7" s="110" t="s">
        <v>144</v>
      </c>
      <c r="F7" s="126">
        <v>12</v>
      </c>
      <c r="G7" s="127"/>
      <c r="H7" s="127"/>
      <c r="I7" s="127"/>
      <c r="J7" s="111">
        <v>12</v>
      </c>
      <c r="L7" s="110" t="s">
        <v>136</v>
      </c>
      <c r="M7" s="111">
        <v>7638.0952380952385</v>
      </c>
      <c r="R7" s="112" t="s">
        <v>63</v>
      </c>
      <c r="S7" s="113">
        <v>95</v>
      </c>
    </row>
    <row r="8" spans="1:19">
      <c r="A8" s="79" t="s">
        <v>140</v>
      </c>
      <c r="B8" s="79" t="s">
        <v>136</v>
      </c>
      <c r="C8" s="89">
        <v>7800</v>
      </c>
      <c r="E8" s="112" t="s">
        <v>63</v>
      </c>
      <c r="F8" s="128">
        <v>24</v>
      </c>
      <c r="G8" s="129">
        <v>31</v>
      </c>
      <c r="H8" s="129">
        <v>12</v>
      </c>
      <c r="I8" s="129">
        <v>28</v>
      </c>
      <c r="J8" s="113">
        <v>95</v>
      </c>
      <c r="L8" s="110" t="s">
        <v>144</v>
      </c>
      <c r="M8" s="111">
        <v>2983.3333333333335</v>
      </c>
    </row>
    <row r="9" spans="1:19">
      <c r="A9" s="79" t="s">
        <v>142</v>
      </c>
      <c r="B9" s="79" t="s">
        <v>139</v>
      </c>
      <c r="C9" s="89">
        <v>12000</v>
      </c>
      <c r="L9" s="112" t="s">
        <v>63</v>
      </c>
      <c r="M9" s="113">
        <v>9204.21052631579</v>
      </c>
    </row>
    <row r="10" spans="1:19">
      <c r="A10" s="79" t="s">
        <v>138</v>
      </c>
      <c r="B10" s="79" t="s">
        <v>137</v>
      </c>
      <c r="C10" s="89">
        <v>8900</v>
      </c>
    </row>
    <row r="11" spans="1:19">
      <c r="A11" s="79" t="s">
        <v>143</v>
      </c>
      <c r="B11" s="79" t="s">
        <v>136</v>
      </c>
      <c r="C11" s="89">
        <v>5600</v>
      </c>
    </row>
    <row r="12" spans="1:19">
      <c r="A12" s="79" t="s">
        <v>140</v>
      </c>
      <c r="B12" s="79" t="s">
        <v>141</v>
      </c>
      <c r="C12" s="89">
        <v>17000</v>
      </c>
    </row>
    <row r="13" spans="1:19">
      <c r="A13" s="79" t="s">
        <v>135</v>
      </c>
      <c r="B13" s="79" t="s">
        <v>139</v>
      </c>
      <c r="C13" s="89">
        <v>13500</v>
      </c>
    </row>
    <row r="14" spans="1:19">
      <c r="A14" s="79" t="s">
        <v>142</v>
      </c>
      <c r="B14" s="79" t="s">
        <v>136</v>
      </c>
      <c r="C14" s="89">
        <v>4200</v>
      </c>
    </row>
    <row r="15" spans="1:19">
      <c r="A15" s="79" t="s">
        <v>143</v>
      </c>
      <c r="B15" s="79" t="s">
        <v>144</v>
      </c>
      <c r="C15" s="89">
        <v>3700</v>
      </c>
    </row>
    <row r="16" spans="1:19">
      <c r="A16" s="79" t="s">
        <v>138</v>
      </c>
      <c r="B16" s="79" t="s">
        <v>139</v>
      </c>
      <c r="C16" s="89">
        <v>15000</v>
      </c>
    </row>
    <row r="17" spans="1:3">
      <c r="A17" s="79" t="s">
        <v>140</v>
      </c>
      <c r="B17" s="79" t="s">
        <v>137</v>
      </c>
      <c r="C17" s="89">
        <v>2700</v>
      </c>
    </row>
    <row r="18" spans="1:3">
      <c r="A18" s="79" t="s">
        <v>135</v>
      </c>
      <c r="B18" s="79" t="s">
        <v>141</v>
      </c>
      <c r="C18" s="89">
        <v>14200</v>
      </c>
    </row>
    <row r="19" spans="1:3">
      <c r="A19" s="79" t="s">
        <v>138</v>
      </c>
      <c r="B19" s="79" t="s">
        <v>136</v>
      </c>
      <c r="C19" s="89">
        <v>10300</v>
      </c>
    </row>
    <row r="20" spans="1:3">
      <c r="A20" s="79" t="s">
        <v>142</v>
      </c>
      <c r="B20" s="79" t="s">
        <v>139</v>
      </c>
      <c r="C20" s="89">
        <v>14500</v>
      </c>
    </row>
    <row r="21" spans="1:3">
      <c r="A21" s="79" t="s">
        <v>143</v>
      </c>
      <c r="B21" s="79" t="s">
        <v>137</v>
      </c>
      <c r="C21" s="89">
        <v>3500</v>
      </c>
    </row>
    <row r="22" spans="1:3">
      <c r="A22" s="79" t="s">
        <v>140</v>
      </c>
      <c r="B22" s="79" t="s">
        <v>139</v>
      </c>
      <c r="C22" s="89">
        <v>16000</v>
      </c>
    </row>
    <row r="23" spans="1:3">
      <c r="A23" s="79" t="s">
        <v>135</v>
      </c>
      <c r="B23" s="79" t="s">
        <v>136</v>
      </c>
      <c r="C23" s="89">
        <v>5200</v>
      </c>
    </row>
    <row r="24" spans="1:3">
      <c r="A24" s="79" t="s">
        <v>142</v>
      </c>
      <c r="B24" s="79" t="s">
        <v>137</v>
      </c>
      <c r="C24" s="89">
        <v>4800</v>
      </c>
    </row>
    <row r="25" spans="1:3">
      <c r="A25" s="79" t="s">
        <v>138</v>
      </c>
      <c r="B25" s="79" t="s">
        <v>141</v>
      </c>
      <c r="C25" s="89">
        <v>7600</v>
      </c>
    </row>
    <row r="26" spans="1:3">
      <c r="A26" s="79" t="s">
        <v>143</v>
      </c>
      <c r="B26" s="79" t="s">
        <v>144</v>
      </c>
      <c r="C26" s="89">
        <v>2950</v>
      </c>
    </row>
    <row r="27" spans="1:3">
      <c r="A27" s="79" t="s">
        <v>135</v>
      </c>
      <c r="B27" s="79" t="s">
        <v>139</v>
      </c>
      <c r="C27" s="89">
        <v>12500</v>
      </c>
    </row>
    <row r="28" spans="1:3">
      <c r="A28" s="79" t="s">
        <v>140</v>
      </c>
      <c r="B28" s="79" t="s">
        <v>137</v>
      </c>
      <c r="C28" s="89">
        <v>8600</v>
      </c>
    </row>
    <row r="29" spans="1:3">
      <c r="A29" s="79" t="s">
        <v>138</v>
      </c>
      <c r="B29" s="79" t="s">
        <v>136</v>
      </c>
      <c r="C29" s="89">
        <v>10700</v>
      </c>
    </row>
    <row r="30" spans="1:3">
      <c r="A30" s="79" t="s">
        <v>142</v>
      </c>
      <c r="B30" s="79" t="s">
        <v>139</v>
      </c>
      <c r="C30" s="89">
        <v>13000</v>
      </c>
    </row>
    <row r="31" spans="1:3">
      <c r="A31" s="79" t="s">
        <v>143</v>
      </c>
      <c r="B31" s="79" t="s">
        <v>144</v>
      </c>
      <c r="C31" s="89">
        <v>2500</v>
      </c>
    </row>
    <row r="32" spans="1:3">
      <c r="A32" s="79" t="s">
        <v>140</v>
      </c>
      <c r="B32" s="79" t="s">
        <v>136</v>
      </c>
      <c r="C32" s="89">
        <v>6300</v>
      </c>
    </row>
    <row r="33" spans="1:6">
      <c r="A33" s="79" t="s">
        <v>135</v>
      </c>
      <c r="B33" s="79" t="s">
        <v>141</v>
      </c>
      <c r="C33" s="89">
        <v>9500</v>
      </c>
    </row>
    <row r="34" spans="1:6">
      <c r="A34" s="79" t="s">
        <v>138</v>
      </c>
      <c r="B34" s="79" t="s">
        <v>139</v>
      </c>
      <c r="C34" s="89">
        <v>14900</v>
      </c>
    </row>
    <row r="35" spans="1:6">
      <c r="A35" s="79" t="s">
        <v>142</v>
      </c>
      <c r="B35" s="79" t="s">
        <v>136</v>
      </c>
      <c r="C35" s="89">
        <v>4100</v>
      </c>
    </row>
    <row r="36" spans="1:6">
      <c r="A36" s="79" t="s">
        <v>143</v>
      </c>
      <c r="B36" s="79" t="s">
        <v>137</v>
      </c>
      <c r="C36" s="89">
        <v>3400</v>
      </c>
    </row>
    <row r="37" spans="1:6">
      <c r="A37" s="79" t="s">
        <v>140</v>
      </c>
      <c r="B37" s="79" t="s">
        <v>141</v>
      </c>
      <c r="C37" s="89">
        <v>9800</v>
      </c>
    </row>
    <row r="38" spans="1:6">
      <c r="A38" s="79" t="s">
        <v>135</v>
      </c>
      <c r="B38" s="79" t="s">
        <v>139</v>
      </c>
      <c r="C38" s="89">
        <v>13500</v>
      </c>
      <c r="F38" s="92" t="s">
        <v>145</v>
      </c>
    </row>
    <row r="39" spans="1:6">
      <c r="A39" s="79" t="s">
        <v>138</v>
      </c>
      <c r="B39" s="79" t="s">
        <v>137</v>
      </c>
      <c r="C39" s="89">
        <v>6700</v>
      </c>
      <c r="F39" s="92"/>
    </row>
    <row r="40" spans="1:6">
      <c r="A40" s="79" t="s">
        <v>142</v>
      </c>
      <c r="B40" s="79" t="s">
        <v>141</v>
      </c>
      <c r="C40" s="89">
        <v>13200</v>
      </c>
      <c r="F40" s="92" t="s">
        <v>146</v>
      </c>
    </row>
    <row r="41" spans="1:6">
      <c r="A41" s="79" t="s">
        <v>143</v>
      </c>
      <c r="B41" s="79" t="s">
        <v>136</v>
      </c>
      <c r="C41" s="89">
        <v>5800</v>
      </c>
      <c r="F41" s="92" t="s">
        <v>147</v>
      </c>
    </row>
    <row r="42" spans="1:6">
      <c r="A42" s="79" t="s">
        <v>135</v>
      </c>
      <c r="B42" s="79" t="s">
        <v>141</v>
      </c>
      <c r="C42" s="89">
        <v>14700</v>
      </c>
      <c r="F42" s="92" t="s">
        <v>148</v>
      </c>
    </row>
    <row r="43" spans="1:6">
      <c r="A43" s="79" t="s">
        <v>140</v>
      </c>
      <c r="B43" s="79" t="s">
        <v>139</v>
      </c>
      <c r="C43" s="89">
        <v>11800</v>
      </c>
      <c r="F43" s="92" t="s">
        <v>149</v>
      </c>
    </row>
    <row r="44" spans="1:6">
      <c r="A44" s="79" t="s">
        <v>138</v>
      </c>
      <c r="B44" s="79" t="s">
        <v>136</v>
      </c>
      <c r="C44" s="89">
        <v>10400</v>
      </c>
      <c r="F44" s="92" t="s">
        <v>150</v>
      </c>
    </row>
    <row r="45" spans="1:6">
      <c r="A45" s="79" t="s">
        <v>142</v>
      </c>
      <c r="B45" s="79" t="s">
        <v>144</v>
      </c>
      <c r="C45" s="89">
        <v>2750</v>
      </c>
      <c r="F45" s="92" t="s">
        <v>151</v>
      </c>
    </row>
    <row r="46" spans="1:6">
      <c r="A46" s="79" t="s">
        <v>143</v>
      </c>
      <c r="B46" s="79" t="s">
        <v>137</v>
      </c>
      <c r="C46" s="89">
        <v>3300</v>
      </c>
      <c r="F46" s="92" t="s">
        <v>152</v>
      </c>
    </row>
    <row r="47" spans="1:6">
      <c r="A47" s="79" t="s">
        <v>140</v>
      </c>
      <c r="B47" s="79" t="s">
        <v>141</v>
      </c>
      <c r="C47" s="89">
        <v>15500</v>
      </c>
      <c r="F47" s="92" t="s">
        <v>153</v>
      </c>
    </row>
    <row r="48" spans="1:6">
      <c r="A48" s="79" t="s">
        <v>135</v>
      </c>
      <c r="B48" s="79" t="s">
        <v>139</v>
      </c>
      <c r="C48" s="89">
        <v>13800</v>
      </c>
    </row>
    <row r="49" spans="1:3">
      <c r="A49" s="79" t="s">
        <v>138</v>
      </c>
      <c r="B49" s="79" t="s">
        <v>144</v>
      </c>
      <c r="C49" s="89">
        <v>2600</v>
      </c>
    </row>
    <row r="50" spans="1:3">
      <c r="A50" s="79" t="s">
        <v>142</v>
      </c>
      <c r="B50" s="79" t="s">
        <v>136</v>
      </c>
      <c r="C50" s="89">
        <v>4200</v>
      </c>
    </row>
    <row r="51" spans="1:3">
      <c r="A51" s="79" t="s">
        <v>143</v>
      </c>
      <c r="B51" s="79" t="s">
        <v>137</v>
      </c>
      <c r="C51" s="89">
        <v>2800</v>
      </c>
    </row>
    <row r="52" spans="1:3">
      <c r="A52" s="79" t="s">
        <v>140</v>
      </c>
      <c r="B52" s="79" t="s">
        <v>139</v>
      </c>
      <c r="C52" s="89">
        <v>16200</v>
      </c>
    </row>
    <row r="53" spans="1:3">
      <c r="A53" s="79" t="s">
        <v>135</v>
      </c>
      <c r="B53" s="79" t="s">
        <v>137</v>
      </c>
      <c r="C53" s="89">
        <v>5900</v>
      </c>
    </row>
    <row r="54" spans="1:3">
      <c r="A54" s="79" t="s">
        <v>138</v>
      </c>
      <c r="B54" s="79" t="s">
        <v>141</v>
      </c>
      <c r="C54" s="89">
        <v>9200</v>
      </c>
    </row>
    <row r="55" spans="1:3">
      <c r="A55" s="79" t="s">
        <v>142</v>
      </c>
      <c r="B55" s="79" t="s">
        <v>144</v>
      </c>
      <c r="C55" s="89">
        <v>3400</v>
      </c>
    </row>
    <row r="56" spans="1:3">
      <c r="A56" s="79" t="s">
        <v>143</v>
      </c>
      <c r="B56" s="79" t="s">
        <v>139</v>
      </c>
      <c r="C56" s="89">
        <v>18000</v>
      </c>
    </row>
    <row r="57" spans="1:3">
      <c r="A57" s="79" t="s">
        <v>140</v>
      </c>
      <c r="B57" s="79" t="s">
        <v>136</v>
      </c>
      <c r="C57" s="89">
        <v>7400</v>
      </c>
    </row>
    <row r="58" spans="1:3">
      <c r="A58" s="79" t="s">
        <v>135</v>
      </c>
      <c r="B58" s="79" t="s">
        <v>139</v>
      </c>
      <c r="C58" s="89">
        <v>11200</v>
      </c>
    </row>
    <row r="59" spans="1:3">
      <c r="A59" s="79" t="s">
        <v>138</v>
      </c>
      <c r="B59" s="79" t="s">
        <v>137</v>
      </c>
      <c r="C59" s="89">
        <v>6600</v>
      </c>
    </row>
    <row r="60" spans="1:3">
      <c r="A60" s="79" t="s">
        <v>142</v>
      </c>
      <c r="B60" s="79" t="s">
        <v>141</v>
      </c>
      <c r="C60" s="89">
        <v>12500</v>
      </c>
    </row>
    <row r="61" spans="1:3">
      <c r="A61" s="79" t="s">
        <v>143</v>
      </c>
      <c r="B61" s="79" t="s">
        <v>144</v>
      </c>
      <c r="C61" s="89">
        <v>3000</v>
      </c>
    </row>
    <row r="62" spans="1:3">
      <c r="A62" s="79" t="s">
        <v>140</v>
      </c>
      <c r="B62" s="79" t="s">
        <v>137</v>
      </c>
      <c r="C62" s="89">
        <v>8200</v>
      </c>
    </row>
    <row r="63" spans="1:3">
      <c r="A63" s="79" t="s">
        <v>135</v>
      </c>
      <c r="B63" s="79" t="s">
        <v>141</v>
      </c>
      <c r="C63" s="89">
        <v>10000</v>
      </c>
    </row>
    <row r="64" spans="1:3">
      <c r="A64" s="79" t="s">
        <v>138</v>
      </c>
      <c r="B64" s="79" t="s">
        <v>136</v>
      </c>
      <c r="C64" s="89">
        <v>10600</v>
      </c>
    </row>
    <row r="65" spans="1:3">
      <c r="A65" s="79" t="s">
        <v>142</v>
      </c>
      <c r="B65" s="79" t="s">
        <v>139</v>
      </c>
      <c r="C65" s="89">
        <v>13500</v>
      </c>
    </row>
    <row r="66" spans="1:3">
      <c r="A66" s="79" t="s">
        <v>143</v>
      </c>
      <c r="B66" s="79" t="s">
        <v>137</v>
      </c>
      <c r="C66" s="89">
        <v>3400</v>
      </c>
    </row>
    <row r="67" spans="1:3">
      <c r="A67" s="79" t="s">
        <v>140</v>
      </c>
      <c r="B67" s="79" t="s">
        <v>139</v>
      </c>
      <c r="C67" s="89">
        <v>17500</v>
      </c>
    </row>
    <row r="68" spans="1:3">
      <c r="A68" s="79" t="s">
        <v>135</v>
      </c>
      <c r="B68" s="79" t="s">
        <v>136</v>
      </c>
      <c r="C68" s="89">
        <v>5200</v>
      </c>
    </row>
    <row r="69" spans="1:3">
      <c r="A69" s="79" t="s">
        <v>138</v>
      </c>
      <c r="B69" s="79" t="s">
        <v>141</v>
      </c>
      <c r="C69" s="89">
        <v>9800</v>
      </c>
    </row>
    <row r="70" spans="1:3">
      <c r="A70" s="79" t="s">
        <v>142</v>
      </c>
      <c r="B70" s="79" t="s">
        <v>144</v>
      </c>
      <c r="C70" s="89">
        <v>2700</v>
      </c>
    </row>
    <row r="71" spans="1:3">
      <c r="A71" s="79" t="s">
        <v>143</v>
      </c>
      <c r="B71" s="79" t="s">
        <v>139</v>
      </c>
      <c r="C71" s="89">
        <v>16000</v>
      </c>
    </row>
    <row r="72" spans="1:3">
      <c r="A72" s="79" t="s">
        <v>140</v>
      </c>
      <c r="B72" s="79" t="s">
        <v>136</v>
      </c>
      <c r="C72" s="89">
        <v>6700</v>
      </c>
    </row>
    <row r="73" spans="1:3">
      <c r="A73" s="79" t="s">
        <v>135</v>
      </c>
      <c r="B73" s="79" t="s">
        <v>139</v>
      </c>
      <c r="C73" s="89">
        <v>13200</v>
      </c>
    </row>
    <row r="74" spans="1:3">
      <c r="A74" s="79" t="s">
        <v>138</v>
      </c>
      <c r="B74" s="79" t="s">
        <v>137</v>
      </c>
      <c r="C74" s="89">
        <v>7600</v>
      </c>
    </row>
    <row r="75" spans="1:3">
      <c r="A75" s="79" t="s">
        <v>142</v>
      </c>
      <c r="B75" s="79" t="s">
        <v>141</v>
      </c>
      <c r="C75" s="89">
        <v>12700</v>
      </c>
    </row>
    <row r="76" spans="1:3">
      <c r="A76" s="79" t="s">
        <v>143</v>
      </c>
      <c r="B76" s="79" t="s">
        <v>144</v>
      </c>
      <c r="C76" s="89">
        <v>3400</v>
      </c>
    </row>
    <row r="77" spans="1:3">
      <c r="A77" s="79" t="s">
        <v>140</v>
      </c>
      <c r="B77" s="79" t="s">
        <v>141</v>
      </c>
      <c r="C77" s="89">
        <v>14800</v>
      </c>
    </row>
    <row r="78" spans="1:3">
      <c r="A78" s="79" t="s">
        <v>135</v>
      </c>
      <c r="B78" s="79" t="s">
        <v>136</v>
      </c>
      <c r="C78" s="89">
        <v>10700</v>
      </c>
    </row>
    <row r="79" spans="1:3">
      <c r="A79" s="79" t="s">
        <v>138</v>
      </c>
      <c r="B79" s="79" t="s">
        <v>139</v>
      </c>
      <c r="C79" s="89">
        <v>14500</v>
      </c>
    </row>
    <row r="80" spans="1:3">
      <c r="A80" s="79" t="s">
        <v>142</v>
      </c>
      <c r="B80" s="79" t="s">
        <v>137</v>
      </c>
      <c r="C80" s="89">
        <v>4400</v>
      </c>
    </row>
    <row r="81" spans="1:3">
      <c r="A81" s="79" t="s">
        <v>143</v>
      </c>
      <c r="B81" s="79" t="s">
        <v>136</v>
      </c>
      <c r="C81" s="89">
        <v>5600</v>
      </c>
    </row>
    <row r="82" spans="1:3">
      <c r="A82" s="79" t="s">
        <v>140</v>
      </c>
      <c r="B82" s="79" t="s">
        <v>139</v>
      </c>
      <c r="C82" s="89">
        <v>16300</v>
      </c>
    </row>
    <row r="83" spans="1:3">
      <c r="A83" s="79" t="s">
        <v>135</v>
      </c>
      <c r="B83" s="79" t="s">
        <v>141</v>
      </c>
      <c r="C83" s="89">
        <v>10900</v>
      </c>
    </row>
    <row r="84" spans="1:3">
      <c r="A84" s="79" t="s">
        <v>138</v>
      </c>
      <c r="B84" s="79" t="s">
        <v>136</v>
      </c>
      <c r="C84" s="89">
        <v>9200</v>
      </c>
    </row>
    <row r="85" spans="1:3">
      <c r="A85" s="79" t="s">
        <v>142</v>
      </c>
      <c r="B85" s="79" t="s">
        <v>144</v>
      </c>
      <c r="C85" s="89">
        <v>2600</v>
      </c>
    </row>
    <row r="86" spans="1:3">
      <c r="A86" s="79" t="s">
        <v>143</v>
      </c>
      <c r="B86" s="79" t="s">
        <v>139</v>
      </c>
      <c r="C86" s="89">
        <v>17000</v>
      </c>
    </row>
    <row r="87" spans="1:3">
      <c r="A87" s="79" t="s">
        <v>140</v>
      </c>
      <c r="B87" s="79" t="s">
        <v>137</v>
      </c>
      <c r="C87" s="89">
        <v>6700</v>
      </c>
    </row>
    <row r="88" spans="1:3">
      <c r="A88" s="79" t="s">
        <v>135</v>
      </c>
      <c r="B88" s="79" t="s">
        <v>139</v>
      </c>
      <c r="C88" s="89">
        <v>12000</v>
      </c>
    </row>
    <row r="89" spans="1:3">
      <c r="A89" s="79" t="s">
        <v>138</v>
      </c>
      <c r="B89" s="79" t="s">
        <v>141</v>
      </c>
      <c r="C89" s="89">
        <v>10700</v>
      </c>
    </row>
    <row r="90" spans="1:3">
      <c r="A90" s="79" t="s">
        <v>142</v>
      </c>
      <c r="B90" s="79" t="s">
        <v>136</v>
      </c>
      <c r="C90" s="89">
        <v>6800</v>
      </c>
    </row>
    <row r="91" spans="1:3">
      <c r="A91" s="79" t="s">
        <v>143</v>
      </c>
      <c r="B91" s="79" t="s">
        <v>144</v>
      </c>
      <c r="C91" s="89">
        <v>3200</v>
      </c>
    </row>
    <row r="92" spans="1:3">
      <c r="A92" s="79" t="s">
        <v>140</v>
      </c>
      <c r="B92" s="79" t="s">
        <v>141</v>
      </c>
      <c r="C92" s="89">
        <v>9800</v>
      </c>
    </row>
    <row r="93" spans="1:3">
      <c r="A93" s="79" t="s">
        <v>135</v>
      </c>
      <c r="B93" s="79" t="s">
        <v>136</v>
      </c>
      <c r="C93" s="89">
        <v>9100</v>
      </c>
    </row>
    <row r="94" spans="1:3">
      <c r="A94" s="79" t="s">
        <v>138</v>
      </c>
      <c r="B94" s="79" t="s">
        <v>139</v>
      </c>
      <c r="C94" s="89">
        <v>15200</v>
      </c>
    </row>
    <row r="95" spans="1:3">
      <c r="A95" s="79" t="s">
        <v>142</v>
      </c>
      <c r="B95" s="79" t="s">
        <v>137</v>
      </c>
      <c r="C95" s="89">
        <v>4500</v>
      </c>
    </row>
    <row r="96" spans="1:3">
      <c r="A96" s="79" t="s">
        <v>143</v>
      </c>
      <c r="B96" s="79" t="s">
        <v>141</v>
      </c>
      <c r="C96" s="89">
        <v>11800</v>
      </c>
    </row>
    <row r="97" spans="3:3">
      <c r="C97" s="89"/>
    </row>
    <row r="98" spans="3:3">
      <c r="C98" s="89"/>
    </row>
    <row r="99" spans="3:3">
      <c r="C99" s="89"/>
    </row>
    <row r="100" spans="3:3">
      <c r="C100" s="89"/>
    </row>
    <row r="101" spans="3:3">
      <c r="C101" s="89"/>
    </row>
    <row r="102" spans="3:3">
      <c r="C102" s="89"/>
    </row>
    <row r="103" spans="3:3">
      <c r="C103" s="89"/>
    </row>
    <row r="104" spans="3:3">
      <c r="C104" s="89"/>
    </row>
    <row r="105" spans="3:3">
      <c r="C105" s="89"/>
    </row>
    <row r="106" spans="3:3">
      <c r="C106" s="89"/>
    </row>
    <row r="107" spans="3:3">
      <c r="C107" s="89"/>
    </row>
    <row r="108" spans="3:3">
      <c r="C108" s="89"/>
    </row>
    <row r="109" spans="3:3">
      <c r="C109" s="89"/>
    </row>
    <row r="110" spans="3:3">
      <c r="C110" s="89"/>
    </row>
    <row r="111" spans="3:3">
      <c r="C111" s="89"/>
    </row>
    <row r="112" spans="3:3">
      <c r="C112" s="89"/>
    </row>
    <row r="113" spans="3:3">
      <c r="C113" s="89"/>
    </row>
    <row r="114" spans="3:3">
      <c r="C114" s="89"/>
    </row>
    <row r="115" spans="3:3">
      <c r="C115" s="89"/>
    </row>
    <row r="116" spans="3:3">
      <c r="C116" s="89"/>
    </row>
    <row r="117" spans="3:3">
      <c r="C117" s="89"/>
    </row>
    <row r="118" spans="3:3">
      <c r="C118" s="89"/>
    </row>
    <row r="119" spans="3:3">
      <c r="C119" s="89"/>
    </row>
    <row r="120" spans="3:3">
      <c r="C120" s="89"/>
    </row>
    <row r="121" spans="3:3">
      <c r="C121" s="89"/>
    </row>
    <row r="122" spans="3:3">
      <c r="C122" s="89"/>
    </row>
    <row r="123" spans="3:3">
      <c r="C123" s="89"/>
    </row>
    <row r="124" spans="3:3">
      <c r="C124" s="89"/>
    </row>
    <row r="125" spans="3:3">
      <c r="C125" s="89"/>
    </row>
    <row r="126" spans="3:3">
      <c r="C126" s="89"/>
    </row>
    <row r="127" spans="3:3">
      <c r="C127" s="89"/>
    </row>
    <row r="128" spans="3:3">
      <c r="C128" s="89"/>
    </row>
    <row r="129" spans="3:3">
      <c r="C129" s="89"/>
    </row>
    <row r="130" spans="3:3">
      <c r="C130" s="89"/>
    </row>
    <row r="131" spans="3:3">
      <c r="C131" s="89"/>
    </row>
    <row r="132" spans="3:3">
      <c r="C132" s="89"/>
    </row>
    <row r="133" spans="3:3">
      <c r="C133" s="89"/>
    </row>
    <row r="134" spans="3:3">
      <c r="C134" s="89"/>
    </row>
    <row r="135" spans="3:3">
      <c r="C135" s="89"/>
    </row>
    <row r="136" spans="3:3">
      <c r="C136" s="89"/>
    </row>
    <row r="137" spans="3:3">
      <c r="C137" s="89"/>
    </row>
    <row r="138" spans="3:3">
      <c r="C138" s="89"/>
    </row>
    <row r="139" spans="3:3">
      <c r="C139" s="89"/>
    </row>
    <row r="140" spans="3:3">
      <c r="C140" s="89"/>
    </row>
    <row r="141" spans="3:3">
      <c r="C141" s="89"/>
    </row>
    <row r="142" spans="3:3">
      <c r="C142" s="89"/>
    </row>
    <row r="143" spans="3:3">
      <c r="C143" s="89"/>
    </row>
    <row r="144" spans="3:3">
      <c r="C144" s="89"/>
    </row>
    <row r="145" spans="3:3">
      <c r="C145" s="89"/>
    </row>
    <row r="146" spans="3:3">
      <c r="C146" s="89"/>
    </row>
    <row r="147" spans="3:3">
      <c r="C147" s="89"/>
    </row>
    <row r="148" spans="3:3">
      <c r="C148" s="89"/>
    </row>
    <row r="149" spans="3:3">
      <c r="C149" s="89"/>
    </row>
    <row r="150" spans="3:3">
      <c r="C150" s="89"/>
    </row>
    <row r="151" spans="3:3">
      <c r="C151" s="89"/>
    </row>
    <row r="152" spans="3:3">
      <c r="C152" s="89"/>
    </row>
    <row r="153" spans="3:3">
      <c r="C153" s="89"/>
    </row>
    <row r="154" spans="3:3">
      <c r="C154" s="89"/>
    </row>
    <row r="155" spans="3:3">
      <c r="C155" s="89"/>
    </row>
    <row r="156" spans="3:3">
      <c r="C156" s="89"/>
    </row>
    <row r="157" spans="3:3">
      <c r="C157" s="89"/>
    </row>
    <row r="158" spans="3:3">
      <c r="C158" s="89"/>
    </row>
    <row r="159" spans="3:3">
      <c r="C159" s="89"/>
    </row>
    <row r="160" spans="3:3">
      <c r="C160" s="89"/>
    </row>
    <row r="161" spans="3:3">
      <c r="C161" s="89"/>
    </row>
    <row r="162" spans="3:3">
      <c r="C162" s="89"/>
    </row>
    <row r="163" spans="3:3">
      <c r="C163" s="89"/>
    </row>
    <row r="164" spans="3:3">
      <c r="C164" s="89"/>
    </row>
    <row r="165" spans="3:3">
      <c r="C165" s="89"/>
    </row>
    <row r="166" spans="3:3">
      <c r="C166" s="89"/>
    </row>
    <row r="167" spans="3:3">
      <c r="C167" s="89"/>
    </row>
    <row r="168" spans="3:3">
      <c r="C168" s="89"/>
    </row>
    <row r="169" spans="3:3">
      <c r="C169" s="89"/>
    </row>
    <row r="170" spans="3:3">
      <c r="C170" s="89"/>
    </row>
    <row r="171" spans="3:3">
      <c r="C171" s="89"/>
    </row>
    <row r="172" spans="3:3">
      <c r="C172" s="89"/>
    </row>
    <row r="173" spans="3:3">
      <c r="C173" s="89"/>
    </row>
    <row r="174" spans="3:3">
      <c r="C174" s="89"/>
    </row>
    <row r="175" spans="3:3">
      <c r="C175" s="89"/>
    </row>
    <row r="176" spans="3:3">
      <c r="C176" s="89"/>
    </row>
    <row r="177" spans="3:3">
      <c r="C177" s="89"/>
    </row>
    <row r="178" spans="3:3">
      <c r="C178" s="89"/>
    </row>
    <row r="179" spans="3:3">
      <c r="C179" s="89"/>
    </row>
    <row r="180" spans="3:3">
      <c r="C180" s="89"/>
    </row>
    <row r="181" spans="3:3">
      <c r="C181" s="89"/>
    </row>
    <row r="182" spans="3:3">
      <c r="C182" s="89"/>
    </row>
    <row r="183" spans="3:3">
      <c r="C183" s="89"/>
    </row>
    <row r="184" spans="3:3">
      <c r="C184" s="89"/>
    </row>
    <row r="185" spans="3:3">
      <c r="C185" s="89"/>
    </row>
    <row r="186" spans="3:3">
      <c r="C186" s="89"/>
    </row>
    <row r="187" spans="3:3">
      <c r="C187" s="89"/>
    </row>
    <row r="188" spans="3:3">
      <c r="C188" s="89"/>
    </row>
    <row r="189" spans="3:3">
      <c r="C189" s="89"/>
    </row>
    <row r="190" spans="3:3">
      <c r="C190" s="89"/>
    </row>
    <row r="191" spans="3:3">
      <c r="C191" s="89"/>
    </row>
    <row r="192" spans="3:3">
      <c r="C192" s="89"/>
    </row>
    <row r="193" spans="3:3">
      <c r="C193" s="89"/>
    </row>
    <row r="194" spans="3:3">
      <c r="C194" s="89"/>
    </row>
    <row r="195" spans="3:3">
      <c r="C195" s="89"/>
    </row>
    <row r="196" spans="3:3">
      <c r="C196" s="89"/>
    </row>
    <row r="197" spans="3:3">
      <c r="C197" s="89"/>
    </row>
    <row r="198" spans="3:3">
      <c r="C198" s="89"/>
    </row>
    <row r="199" spans="3:3">
      <c r="C199" s="89"/>
    </row>
    <row r="200" spans="3:3">
      <c r="C200" s="89"/>
    </row>
    <row r="201" spans="3:3">
      <c r="C201" s="89"/>
    </row>
    <row r="202" spans="3:3">
      <c r="C202" s="89"/>
    </row>
    <row r="203" spans="3:3">
      <c r="C203" s="89"/>
    </row>
    <row r="204" spans="3:3">
      <c r="C204" s="89"/>
    </row>
    <row r="205" spans="3:3">
      <c r="C205" s="89"/>
    </row>
    <row r="206" spans="3:3">
      <c r="C206" s="89"/>
    </row>
    <row r="207" spans="3:3">
      <c r="C207" s="89"/>
    </row>
    <row r="208" spans="3:3">
      <c r="C208" s="89"/>
    </row>
    <row r="209" spans="3:3">
      <c r="C209" s="89"/>
    </row>
    <row r="210" spans="3:3">
      <c r="C210" s="89"/>
    </row>
    <row r="211" spans="3:3">
      <c r="C211" s="89"/>
    </row>
    <row r="212" spans="3:3">
      <c r="C212" s="89"/>
    </row>
    <row r="213" spans="3:3">
      <c r="C213" s="89"/>
    </row>
    <row r="214" spans="3:3">
      <c r="C214" s="89"/>
    </row>
    <row r="215" spans="3:3">
      <c r="C215" s="89"/>
    </row>
    <row r="216" spans="3:3">
      <c r="C216" s="89"/>
    </row>
    <row r="217" spans="3:3">
      <c r="C217" s="89"/>
    </row>
    <row r="218" spans="3:3">
      <c r="C218" s="89"/>
    </row>
    <row r="219" spans="3:3">
      <c r="C219" s="89"/>
    </row>
    <row r="220" spans="3:3">
      <c r="C220" s="89"/>
    </row>
    <row r="221" spans="3:3">
      <c r="C221" s="89"/>
    </row>
    <row r="222" spans="3:3">
      <c r="C222" s="89"/>
    </row>
    <row r="223" spans="3:3">
      <c r="C223" s="89"/>
    </row>
    <row r="224" spans="3:3">
      <c r="C224" s="89"/>
    </row>
    <row r="225" spans="3:3">
      <c r="C225" s="89"/>
    </row>
    <row r="226" spans="3:3">
      <c r="C226" s="89"/>
    </row>
    <row r="227" spans="3:3">
      <c r="C227" s="89"/>
    </row>
    <row r="228" spans="3:3">
      <c r="C228" s="89"/>
    </row>
    <row r="229" spans="3:3">
      <c r="C229" s="89"/>
    </row>
    <row r="230" spans="3:3">
      <c r="C230" s="89"/>
    </row>
    <row r="231" spans="3:3">
      <c r="C231" s="89"/>
    </row>
    <row r="232" spans="3:3">
      <c r="C232" s="89"/>
    </row>
    <row r="233" spans="3:3">
      <c r="C233" s="89"/>
    </row>
    <row r="234" spans="3:3">
      <c r="C234" s="89"/>
    </row>
    <row r="235" spans="3:3">
      <c r="C235" s="89"/>
    </row>
    <row r="236" spans="3:3">
      <c r="C236" s="89"/>
    </row>
    <row r="237" spans="3:3">
      <c r="C237" s="89"/>
    </row>
    <row r="238" spans="3:3">
      <c r="C238" s="89"/>
    </row>
    <row r="239" spans="3:3">
      <c r="C239" s="89"/>
    </row>
    <row r="240" spans="3:3">
      <c r="C240" s="89"/>
    </row>
    <row r="241" spans="3:3">
      <c r="C241" s="89"/>
    </row>
    <row r="242" spans="3:3">
      <c r="C242" s="89"/>
    </row>
    <row r="243" spans="3:3">
      <c r="C243" s="89"/>
    </row>
    <row r="244" spans="3:3">
      <c r="C244" s="89"/>
    </row>
    <row r="245" spans="3:3">
      <c r="C245" s="89"/>
    </row>
    <row r="246" spans="3:3">
      <c r="C246" s="89"/>
    </row>
    <row r="247" spans="3:3">
      <c r="C247" s="89"/>
    </row>
    <row r="248" spans="3:3">
      <c r="C248" s="89"/>
    </row>
    <row r="249" spans="3:3">
      <c r="C249" s="89"/>
    </row>
    <row r="250" spans="3:3">
      <c r="C250" s="89"/>
    </row>
    <row r="251" spans="3:3">
      <c r="C251" s="89"/>
    </row>
    <row r="252" spans="3:3">
      <c r="C252" s="89"/>
    </row>
    <row r="253" spans="3:3">
      <c r="C253" s="89"/>
    </row>
    <row r="254" spans="3:3">
      <c r="C254" s="89"/>
    </row>
    <row r="255" spans="3:3">
      <c r="C255" s="89"/>
    </row>
    <row r="256" spans="3:3">
      <c r="C256" s="89"/>
    </row>
    <row r="257" spans="3:3">
      <c r="C257" s="89"/>
    </row>
    <row r="258" spans="3:3">
      <c r="C258" s="89"/>
    </row>
    <row r="259" spans="3:3">
      <c r="C259" s="89"/>
    </row>
    <row r="260" spans="3:3">
      <c r="C260" s="89"/>
    </row>
    <row r="261" spans="3:3">
      <c r="C261" s="89"/>
    </row>
    <row r="262" spans="3:3">
      <c r="C262" s="89"/>
    </row>
    <row r="263" spans="3:3">
      <c r="C263" s="89"/>
    </row>
    <row r="264" spans="3:3">
      <c r="C264" s="89"/>
    </row>
    <row r="265" spans="3:3">
      <c r="C265" s="89"/>
    </row>
    <row r="266" spans="3:3">
      <c r="C266" s="89"/>
    </row>
    <row r="267" spans="3:3">
      <c r="C267" s="89"/>
    </row>
    <row r="268" spans="3:3">
      <c r="C268" s="89"/>
    </row>
    <row r="269" spans="3:3">
      <c r="C269" s="89"/>
    </row>
    <row r="270" spans="3:3">
      <c r="C270" s="89"/>
    </row>
    <row r="271" spans="3:3">
      <c r="C271" s="89"/>
    </row>
    <row r="272" spans="3:3">
      <c r="C272" s="89"/>
    </row>
    <row r="273" spans="3:3">
      <c r="C273" s="89"/>
    </row>
    <row r="274" spans="3:3">
      <c r="C274" s="89"/>
    </row>
    <row r="275" spans="3:3">
      <c r="C275" s="89"/>
    </row>
    <row r="276" spans="3:3">
      <c r="C276" s="89"/>
    </row>
    <row r="277" spans="3:3">
      <c r="C277" s="89"/>
    </row>
    <row r="278" spans="3:3">
      <c r="C278" s="89"/>
    </row>
    <row r="279" spans="3:3">
      <c r="C279" s="89"/>
    </row>
    <row r="280" spans="3:3">
      <c r="C280" s="89"/>
    </row>
    <row r="281" spans="3:3">
      <c r="C281" s="89"/>
    </row>
    <row r="282" spans="3:3">
      <c r="C282" s="89"/>
    </row>
    <row r="283" spans="3:3">
      <c r="C283" s="89"/>
    </row>
    <row r="284" spans="3:3">
      <c r="C284" s="89"/>
    </row>
    <row r="285" spans="3:3">
      <c r="C285" s="89"/>
    </row>
    <row r="286" spans="3:3">
      <c r="C286" s="89"/>
    </row>
    <row r="287" spans="3:3">
      <c r="C287" s="89"/>
    </row>
    <row r="288" spans="3:3">
      <c r="C288" s="89"/>
    </row>
    <row r="289" spans="3:3">
      <c r="C289" s="89"/>
    </row>
    <row r="290" spans="3:3">
      <c r="C290" s="89"/>
    </row>
    <row r="291" spans="3:3">
      <c r="C291" s="89"/>
    </row>
    <row r="292" spans="3:3">
      <c r="C292" s="89"/>
    </row>
    <row r="293" spans="3:3">
      <c r="C293" s="89"/>
    </row>
    <row r="294" spans="3:3">
      <c r="C294" s="89"/>
    </row>
    <row r="295" spans="3:3">
      <c r="C295" s="89"/>
    </row>
    <row r="296" spans="3:3">
      <c r="C296" s="89"/>
    </row>
    <row r="297" spans="3:3">
      <c r="C297" s="89"/>
    </row>
    <row r="298" spans="3:3">
      <c r="C298" s="89"/>
    </row>
    <row r="299" spans="3:3">
      <c r="C299" s="89"/>
    </row>
    <row r="300" spans="3:3">
      <c r="C300" s="89"/>
    </row>
    <row r="301" spans="3:3">
      <c r="C301" s="89"/>
    </row>
    <row r="302" spans="3:3">
      <c r="C302" s="89"/>
    </row>
    <row r="303" spans="3:3">
      <c r="C303" s="89"/>
    </row>
    <row r="304" spans="3:3">
      <c r="C304" s="89"/>
    </row>
    <row r="305" spans="3:3">
      <c r="C305" s="89"/>
    </row>
    <row r="306" spans="3:3">
      <c r="C306" s="89"/>
    </row>
    <row r="307" spans="3:3">
      <c r="C307" s="89"/>
    </row>
    <row r="308" spans="3:3">
      <c r="C308" s="89"/>
    </row>
    <row r="309" spans="3:3">
      <c r="C309" s="89"/>
    </row>
    <row r="310" spans="3:3">
      <c r="C310" s="89"/>
    </row>
    <row r="311" spans="3:3">
      <c r="C311" s="89"/>
    </row>
    <row r="312" spans="3:3">
      <c r="C312" s="89"/>
    </row>
    <row r="313" spans="3:3">
      <c r="C313" s="89"/>
    </row>
    <row r="314" spans="3:3">
      <c r="C314" s="89"/>
    </row>
    <row r="315" spans="3:3">
      <c r="C315" s="89"/>
    </row>
    <row r="316" spans="3:3">
      <c r="C316" s="89"/>
    </row>
    <row r="317" spans="3:3">
      <c r="C317" s="89"/>
    </row>
    <row r="318" spans="3:3">
      <c r="C318" s="89"/>
    </row>
    <row r="319" spans="3:3">
      <c r="C319" s="89"/>
    </row>
    <row r="320" spans="3:3">
      <c r="C320" s="89"/>
    </row>
    <row r="321" spans="3:3">
      <c r="C321" s="89"/>
    </row>
    <row r="322" spans="3:3">
      <c r="C322" s="89"/>
    </row>
    <row r="323" spans="3:3">
      <c r="C323" s="89"/>
    </row>
    <row r="324" spans="3:3">
      <c r="C324" s="89"/>
    </row>
    <row r="325" spans="3:3">
      <c r="C325" s="89"/>
    </row>
    <row r="326" spans="3:3">
      <c r="C326" s="89"/>
    </row>
    <row r="327" spans="3:3">
      <c r="C327" s="89"/>
    </row>
    <row r="328" spans="3:3">
      <c r="C328" s="89"/>
    </row>
    <row r="329" spans="3:3">
      <c r="C329" s="89"/>
    </row>
    <row r="330" spans="3:3">
      <c r="C330" s="89"/>
    </row>
    <row r="331" spans="3:3">
      <c r="C331" s="89"/>
    </row>
    <row r="332" spans="3:3">
      <c r="C332" s="89"/>
    </row>
    <row r="333" spans="3:3">
      <c r="C333" s="89"/>
    </row>
    <row r="334" spans="3:3">
      <c r="C334" s="89"/>
    </row>
    <row r="335" spans="3:3">
      <c r="C335" s="89"/>
    </row>
    <row r="336" spans="3:3">
      <c r="C336" s="89"/>
    </row>
    <row r="337" spans="3:3">
      <c r="C337" s="89"/>
    </row>
    <row r="338" spans="3:3">
      <c r="C338" s="89"/>
    </row>
    <row r="339" spans="3:3">
      <c r="C339" s="89"/>
    </row>
    <row r="340" spans="3:3">
      <c r="C340" s="89"/>
    </row>
    <row r="341" spans="3:3">
      <c r="C341" s="89"/>
    </row>
    <row r="342" spans="3:3">
      <c r="C342" s="89"/>
    </row>
    <row r="343" spans="3:3">
      <c r="C343" s="89"/>
    </row>
    <row r="344" spans="3:3">
      <c r="C344" s="89"/>
    </row>
    <row r="345" spans="3:3">
      <c r="C345" s="89"/>
    </row>
    <row r="346" spans="3:3">
      <c r="C346" s="89"/>
    </row>
    <row r="347" spans="3:3">
      <c r="C347" s="89"/>
    </row>
    <row r="348" spans="3:3">
      <c r="C348" s="89"/>
    </row>
    <row r="349" spans="3:3">
      <c r="C349" s="89"/>
    </row>
    <row r="350" spans="3:3">
      <c r="C350" s="89"/>
    </row>
    <row r="351" spans="3:3">
      <c r="C351" s="89"/>
    </row>
    <row r="352" spans="3:3">
      <c r="C352" s="89"/>
    </row>
    <row r="353" spans="3:3">
      <c r="C353" s="89"/>
    </row>
    <row r="354" spans="3:3">
      <c r="C354" s="89"/>
    </row>
    <row r="355" spans="3:3">
      <c r="C355" s="89"/>
    </row>
    <row r="356" spans="3:3">
      <c r="C356" s="89"/>
    </row>
    <row r="357" spans="3:3">
      <c r="C357" s="89"/>
    </row>
    <row r="358" spans="3:3">
      <c r="C358" s="89"/>
    </row>
    <row r="359" spans="3:3">
      <c r="C359" s="89"/>
    </row>
    <row r="360" spans="3:3">
      <c r="C360" s="89"/>
    </row>
    <row r="361" spans="3:3">
      <c r="C361" s="89"/>
    </row>
    <row r="362" spans="3:3">
      <c r="C362" s="89"/>
    </row>
    <row r="363" spans="3:3">
      <c r="C363" s="89"/>
    </row>
    <row r="364" spans="3:3">
      <c r="C364" s="89"/>
    </row>
    <row r="365" spans="3:3">
      <c r="C365" s="89"/>
    </row>
    <row r="366" spans="3:3">
      <c r="C366" s="89"/>
    </row>
    <row r="367" spans="3:3">
      <c r="C367" s="89"/>
    </row>
    <row r="368" spans="3:3">
      <c r="C368" s="89"/>
    </row>
    <row r="369" spans="3:3">
      <c r="C369" s="89"/>
    </row>
    <row r="370" spans="3:3">
      <c r="C370" s="89"/>
    </row>
    <row r="371" spans="3:3">
      <c r="C371" s="89"/>
    </row>
    <row r="372" spans="3:3">
      <c r="C372" s="89"/>
    </row>
    <row r="373" spans="3:3">
      <c r="C373" s="89"/>
    </row>
    <row r="374" spans="3:3">
      <c r="C374" s="89"/>
    </row>
    <row r="375" spans="3:3">
      <c r="C375" s="89"/>
    </row>
    <row r="376" spans="3:3">
      <c r="C376" s="89"/>
    </row>
    <row r="377" spans="3:3">
      <c r="C377" s="89"/>
    </row>
    <row r="378" spans="3:3">
      <c r="C378" s="89"/>
    </row>
    <row r="379" spans="3:3">
      <c r="C379" s="89"/>
    </row>
    <row r="380" spans="3:3">
      <c r="C380" s="89"/>
    </row>
    <row r="381" spans="3:3">
      <c r="C381" s="89"/>
    </row>
    <row r="382" spans="3:3">
      <c r="C382" s="89"/>
    </row>
    <row r="383" spans="3:3">
      <c r="C383" s="89"/>
    </row>
    <row r="384" spans="3:3">
      <c r="C384" s="89"/>
    </row>
    <row r="385" spans="3:3">
      <c r="C385" s="89"/>
    </row>
    <row r="386" spans="3:3">
      <c r="C386" s="89"/>
    </row>
    <row r="387" spans="3:3">
      <c r="C387" s="89"/>
    </row>
    <row r="388" spans="3:3">
      <c r="C388" s="89"/>
    </row>
    <row r="389" spans="3:3">
      <c r="C389" s="89"/>
    </row>
    <row r="390" spans="3:3">
      <c r="C390" s="89"/>
    </row>
    <row r="391" spans="3:3">
      <c r="C391" s="89"/>
    </row>
    <row r="392" spans="3:3">
      <c r="C392" s="89"/>
    </row>
    <row r="393" spans="3:3">
      <c r="C393" s="89"/>
    </row>
    <row r="394" spans="3:3">
      <c r="C394" s="89"/>
    </row>
    <row r="395" spans="3:3">
      <c r="C395" s="89"/>
    </row>
    <row r="396" spans="3:3">
      <c r="C396" s="89"/>
    </row>
    <row r="397" spans="3:3">
      <c r="C397" s="89"/>
    </row>
    <row r="398" spans="3:3">
      <c r="C398" s="89"/>
    </row>
    <row r="399" spans="3:3">
      <c r="C399" s="89"/>
    </row>
    <row r="400" spans="3:3">
      <c r="C400" s="89"/>
    </row>
    <row r="401" spans="3:3">
      <c r="C401" s="89"/>
    </row>
    <row r="402" spans="3:3">
      <c r="C402" s="89"/>
    </row>
    <row r="403" spans="3:3">
      <c r="C403" s="89"/>
    </row>
    <row r="404" spans="3:3">
      <c r="C404" s="89"/>
    </row>
    <row r="405" spans="3:3">
      <c r="C405" s="89"/>
    </row>
    <row r="406" spans="3:3">
      <c r="C406" s="89"/>
    </row>
    <row r="407" spans="3:3">
      <c r="C407" s="89"/>
    </row>
    <row r="408" spans="3:3">
      <c r="C408" s="89"/>
    </row>
    <row r="409" spans="3:3">
      <c r="C409" s="89"/>
    </row>
    <row r="410" spans="3:3">
      <c r="C410" s="89"/>
    </row>
    <row r="411" spans="3:3">
      <c r="C411" s="89"/>
    </row>
    <row r="412" spans="3:3">
      <c r="C412" s="89"/>
    </row>
    <row r="413" spans="3:3">
      <c r="C413" s="89"/>
    </row>
    <row r="414" spans="3:3">
      <c r="C414" s="89"/>
    </row>
    <row r="415" spans="3:3">
      <c r="C415" s="89"/>
    </row>
    <row r="416" spans="3:3">
      <c r="C416" s="89"/>
    </row>
    <row r="417" spans="3:3">
      <c r="C417" s="89"/>
    </row>
    <row r="418" spans="3:3">
      <c r="C418" s="89"/>
    </row>
    <row r="419" spans="3:3">
      <c r="C419" s="89"/>
    </row>
    <row r="420" spans="3:3">
      <c r="C420" s="89"/>
    </row>
    <row r="421" spans="3:3">
      <c r="C421" s="89"/>
    </row>
    <row r="422" spans="3:3">
      <c r="C422" s="89"/>
    </row>
    <row r="423" spans="3:3">
      <c r="C423" s="89"/>
    </row>
    <row r="424" spans="3:3">
      <c r="C424" s="89"/>
    </row>
    <row r="425" spans="3:3">
      <c r="C425" s="89"/>
    </row>
    <row r="426" spans="3:3">
      <c r="C426" s="89"/>
    </row>
    <row r="427" spans="3:3">
      <c r="C427" s="89"/>
    </row>
    <row r="428" spans="3:3">
      <c r="C428" s="89"/>
    </row>
    <row r="429" spans="3:3">
      <c r="C429" s="89"/>
    </row>
    <row r="430" spans="3:3">
      <c r="C430" s="89"/>
    </row>
    <row r="431" spans="3:3">
      <c r="C431" s="89"/>
    </row>
    <row r="432" spans="3:3">
      <c r="C432" s="89"/>
    </row>
    <row r="433" spans="3:3">
      <c r="C433" s="89"/>
    </row>
    <row r="434" spans="3:3">
      <c r="C434" s="89"/>
    </row>
    <row r="435" spans="3:3">
      <c r="C435" s="89"/>
    </row>
    <row r="436" spans="3:3">
      <c r="C436" s="89"/>
    </row>
    <row r="437" spans="3:3">
      <c r="C437" s="89"/>
    </row>
    <row r="438" spans="3:3">
      <c r="C438" s="89"/>
    </row>
    <row r="439" spans="3:3">
      <c r="C439" s="89"/>
    </row>
    <row r="440" spans="3:3">
      <c r="C440" s="89"/>
    </row>
    <row r="441" spans="3:3">
      <c r="C441" s="89"/>
    </row>
    <row r="442" spans="3:3">
      <c r="C442" s="89"/>
    </row>
    <row r="443" spans="3:3">
      <c r="C443" s="89"/>
    </row>
    <row r="444" spans="3:3">
      <c r="C444" s="89"/>
    </row>
    <row r="445" spans="3:3">
      <c r="C445" s="89"/>
    </row>
    <row r="446" spans="3:3">
      <c r="C446" s="89"/>
    </row>
    <row r="447" spans="3:3">
      <c r="C447" s="89"/>
    </row>
    <row r="448" spans="3:3">
      <c r="C448" s="89"/>
    </row>
    <row r="449" spans="3:3">
      <c r="C449" s="89"/>
    </row>
    <row r="450" spans="3:3">
      <c r="C450" s="89"/>
    </row>
    <row r="451" spans="3:3">
      <c r="C451" s="89"/>
    </row>
    <row r="452" spans="3:3">
      <c r="C452" s="89"/>
    </row>
    <row r="453" spans="3:3">
      <c r="C453" s="89"/>
    </row>
    <row r="454" spans="3:3">
      <c r="C454" s="89"/>
    </row>
    <row r="455" spans="3:3">
      <c r="C455" s="89"/>
    </row>
    <row r="456" spans="3:3">
      <c r="C456" s="89"/>
    </row>
    <row r="457" spans="3:3">
      <c r="C457" s="89"/>
    </row>
    <row r="458" spans="3:3">
      <c r="C458" s="89"/>
    </row>
    <row r="459" spans="3:3">
      <c r="C459" s="89"/>
    </row>
    <row r="460" spans="3:3">
      <c r="C460" s="89"/>
    </row>
    <row r="461" spans="3:3">
      <c r="C461" s="89"/>
    </row>
    <row r="462" spans="3:3">
      <c r="C462" s="89"/>
    </row>
    <row r="463" spans="3:3">
      <c r="C463" s="89"/>
    </row>
    <row r="464" spans="3:3">
      <c r="C464" s="89"/>
    </row>
    <row r="465" spans="3:3">
      <c r="C465" s="89"/>
    </row>
    <row r="466" spans="3:3">
      <c r="C466" s="89"/>
    </row>
    <row r="467" spans="3:3">
      <c r="C467" s="89"/>
    </row>
    <row r="468" spans="3:3">
      <c r="C468" s="89"/>
    </row>
    <row r="469" spans="3:3">
      <c r="C469" s="89"/>
    </row>
    <row r="470" spans="3:3">
      <c r="C470" s="89"/>
    </row>
    <row r="471" spans="3:3">
      <c r="C471" s="89"/>
    </row>
    <row r="472" spans="3:3">
      <c r="C472" s="89"/>
    </row>
    <row r="473" spans="3:3">
      <c r="C473" s="89"/>
    </row>
    <row r="474" spans="3:3">
      <c r="C474" s="89"/>
    </row>
    <row r="475" spans="3:3">
      <c r="C475" s="89"/>
    </row>
    <row r="476" spans="3:3">
      <c r="C476" s="89"/>
    </row>
    <row r="477" spans="3:3">
      <c r="C477" s="89"/>
    </row>
    <row r="478" spans="3:3">
      <c r="C478" s="89"/>
    </row>
    <row r="479" spans="3:3">
      <c r="C479" s="89"/>
    </row>
    <row r="480" spans="3:3">
      <c r="C480" s="89"/>
    </row>
    <row r="481" spans="3:3">
      <c r="C481" s="89"/>
    </row>
    <row r="482" spans="3:3">
      <c r="C482" s="89"/>
    </row>
    <row r="483" spans="3:3">
      <c r="C483" s="89"/>
    </row>
    <row r="484" spans="3:3">
      <c r="C484" s="89"/>
    </row>
    <row r="485" spans="3:3">
      <c r="C485" s="89"/>
    </row>
    <row r="486" spans="3:3">
      <c r="C486" s="89"/>
    </row>
    <row r="487" spans="3:3">
      <c r="C487" s="89"/>
    </row>
    <row r="488" spans="3:3">
      <c r="C488" s="89"/>
    </row>
    <row r="489" spans="3:3">
      <c r="C489" s="89"/>
    </row>
    <row r="490" spans="3:3">
      <c r="C490" s="89"/>
    </row>
    <row r="491" spans="3:3">
      <c r="C491" s="89"/>
    </row>
    <row r="492" spans="3:3">
      <c r="C492" s="89"/>
    </row>
    <row r="493" spans="3:3">
      <c r="C493" s="89"/>
    </row>
    <row r="494" spans="3:3">
      <c r="C494" s="89"/>
    </row>
    <row r="495" spans="3:3">
      <c r="C495" s="89"/>
    </row>
    <row r="496" spans="3:3">
      <c r="C496" s="89"/>
    </row>
    <row r="497" spans="3:3">
      <c r="C497" s="89"/>
    </row>
    <row r="498" spans="3:3">
      <c r="C498" s="89"/>
    </row>
    <row r="499" spans="3:3">
      <c r="C499" s="89"/>
    </row>
    <row r="500" spans="3:3">
      <c r="C500" s="89"/>
    </row>
    <row r="501" spans="3:3">
      <c r="C501" s="89"/>
    </row>
    <row r="502" spans="3:3">
      <c r="C502" s="89"/>
    </row>
    <row r="503" spans="3:3">
      <c r="C503" s="89"/>
    </row>
    <row r="504" spans="3:3">
      <c r="C504" s="89"/>
    </row>
    <row r="505" spans="3:3">
      <c r="C505" s="89"/>
    </row>
    <row r="506" spans="3:3">
      <c r="C506" s="89"/>
    </row>
    <row r="507" spans="3:3">
      <c r="C507" s="89"/>
    </row>
    <row r="508" spans="3:3">
      <c r="C508" s="89"/>
    </row>
    <row r="509" spans="3:3">
      <c r="C509" s="89"/>
    </row>
    <row r="510" spans="3:3">
      <c r="C510" s="89"/>
    </row>
    <row r="511" spans="3:3">
      <c r="C511" s="89"/>
    </row>
    <row r="512" spans="3:3">
      <c r="C512" s="89"/>
    </row>
    <row r="513" spans="3:3">
      <c r="C513" s="89"/>
    </row>
    <row r="514" spans="3:3">
      <c r="C514" s="89"/>
    </row>
    <row r="515" spans="3:3">
      <c r="C515" s="89"/>
    </row>
    <row r="516" spans="3:3">
      <c r="C516" s="89"/>
    </row>
    <row r="517" spans="3:3">
      <c r="C517" s="89"/>
    </row>
    <row r="518" spans="3:3">
      <c r="C518" s="89"/>
    </row>
    <row r="519" spans="3:3">
      <c r="C519" s="89"/>
    </row>
    <row r="520" spans="3:3">
      <c r="C520" s="89"/>
    </row>
    <row r="521" spans="3:3">
      <c r="C521" s="89"/>
    </row>
    <row r="522" spans="3:3">
      <c r="C522" s="89"/>
    </row>
    <row r="523" spans="3:3">
      <c r="C523" s="89"/>
    </row>
    <row r="524" spans="3:3">
      <c r="C524" s="89"/>
    </row>
    <row r="525" spans="3:3">
      <c r="C525" s="89"/>
    </row>
    <row r="526" spans="3:3">
      <c r="C526" s="89"/>
    </row>
    <row r="527" spans="3:3">
      <c r="C527" s="89"/>
    </row>
    <row r="528" spans="3:3">
      <c r="C528" s="89"/>
    </row>
    <row r="529" spans="3:3">
      <c r="C529" s="89"/>
    </row>
    <row r="530" spans="3:3">
      <c r="C530" s="89"/>
    </row>
    <row r="531" spans="3:3">
      <c r="C531" s="89"/>
    </row>
    <row r="532" spans="3:3">
      <c r="C532" s="89"/>
    </row>
    <row r="533" spans="3:3">
      <c r="C533" s="89"/>
    </row>
    <row r="534" spans="3:3">
      <c r="C534" s="89"/>
    </row>
    <row r="535" spans="3:3">
      <c r="C535" s="89"/>
    </row>
    <row r="536" spans="3:3">
      <c r="C536" s="89"/>
    </row>
    <row r="537" spans="3:3">
      <c r="C537" s="89"/>
    </row>
    <row r="538" spans="3:3">
      <c r="C538" s="89"/>
    </row>
    <row r="539" spans="3:3">
      <c r="C539" s="89"/>
    </row>
    <row r="540" spans="3:3">
      <c r="C540" s="89"/>
    </row>
    <row r="541" spans="3:3">
      <c r="C541" s="89"/>
    </row>
    <row r="542" spans="3:3">
      <c r="C542" s="89"/>
    </row>
    <row r="543" spans="3:3">
      <c r="C543" s="89"/>
    </row>
    <row r="544" spans="3:3">
      <c r="C544" s="89"/>
    </row>
    <row r="545" spans="3:3">
      <c r="C545" s="89"/>
    </row>
    <row r="546" spans="3:3">
      <c r="C546" s="89"/>
    </row>
    <row r="547" spans="3:3">
      <c r="C547" s="89"/>
    </row>
    <row r="548" spans="3:3">
      <c r="C548" s="89"/>
    </row>
    <row r="549" spans="3:3">
      <c r="C549" s="89"/>
    </row>
    <row r="550" spans="3:3">
      <c r="C550" s="89"/>
    </row>
    <row r="551" spans="3:3">
      <c r="C551" s="89"/>
    </row>
    <row r="552" spans="3:3">
      <c r="C552" s="89"/>
    </row>
    <row r="553" spans="3:3">
      <c r="C553" s="89"/>
    </row>
    <row r="554" spans="3:3">
      <c r="C554" s="89"/>
    </row>
    <row r="555" spans="3:3">
      <c r="C555" s="89"/>
    </row>
    <row r="556" spans="3:3">
      <c r="C556" s="89"/>
    </row>
    <row r="557" spans="3:3">
      <c r="C557" s="89"/>
    </row>
    <row r="558" spans="3:3">
      <c r="C558" s="89"/>
    </row>
    <row r="559" spans="3:3">
      <c r="C559" s="89"/>
    </row>
    <row r="560" spans="3:3">
      <c r="C560" s="89"/>
    </row>
    <row r="561" spans="3:3">
      <c r="C561" s="89"/>
    </row>
    <row r="562" spans="3:3">
      <c r="C562" s="89"/>
    </row>
    <row r="563" spans="3:3">
      <c r="C563" s="89"/>
    </row>
    <row r="564" spans="3:3">
      <c r="C564" s="89"/>
    </row>
    <row r="565" spans="3:3">
      <c r="C565" s="89"/>
    </row>
    <row r="566" spans="3:3">
      <c r="C566" s="89"/>
    </row>
    <row r="567" spans="3:3">
      <c r="C567" s="89"/>
    </row>
    <row r="568" spans="3:3">
      <c r="C568" s="89"/>
    </row>
    <row r="569" spans="3:3">
      <c r="C569" s="89"/>
    </row>
    <row r="570" spans="3:3">
      <c r="C570" s="89"/>
    </row>
    <row r="571" spans="3:3">
      <c r="C571" s="89"/>
    </row>
    <row r="572" spans="3:3">
      <c r="C572" s="89"/>
    </row>
    <row r="573" spans="3:3">
      <c r="C573" s="89"/>
    </row>
    <row r="574" spans="3:3">
      <c r="C574" s="89"/>
    </row>
    <row r="575" spans="3:3">
      <c r="C575" s="89"/>
    </row>
    <row r="576" spans="3:3">
      <c r="C576" s="89"/>
    </row>
    <row r="577" spans="3:3">
      <c r="C577" s="89"/>
    </row>
    <row r="578" spans="3:3">
      <c r="C578" s="89"/>
    </row>
    <row r="579" spans="3:3">
      <c r="C579" s="89"/>
    </row>
    <row r="580" spans="3:3">
      <c r="C580" s="89"/>
    </row>
    <row r="581" spans="3:3">
      <c r="C581" s="89"/>
    </row>
    <row r="582" spans="3:3">
      <c r="C582" s="89"/>
    </row>
    <row r="583" spans="3:3">
      <c r="C583" s="89"/>
    </row>
    <row r="584" spans="3:3">
      <c r="C584" s="89"/>
    </row>
    <row r="585" spans="3:3">
      <c r="C585" s="89"/>
    </row>
    <row r="586" spans="3:3">
      <c r="C586" s="89"/>
    </row>
    <row r="587" spans="3:3">
      <c r="C587" s="89"/>
    </row>
    <row r="588" spans="3:3">
      <c r="C588" s="89"/>
    </row>
    <row r="589" spans="3:3">
      <c r="C589" s="89"/>
    </row>
    <row r="590" spans="3:3">
      <c r="C590" s="89"/>
    </row>
    <row r="591" spans="3:3">
      <c r="C591" s="89"/>
    </row>
    <row r="592" spans="3:3">
      <c r="C592" s="89"/>
    </row>
    <row r="593" spans="3:3">
      <c r="C593" s="89"/>
    </row>
    <row r="594" spans="3:3">
      <c r="C594" s="89"/>
    </row>
    <row r="595" spans="3:3">
      <c r="C595" s="89"/>
    </row>
    <row r="596" spans="3:3">
      <c r="C596" s="89"/>
    </row>
    <row r="597" spans="3:3">
      <c r="C597" s="89"/>
    </row>
    <row r="598" spans="3:3">
      <c r="C598" s="89"/>
    </row>
    <row r="599" spans="3:3">
      <c r="C599" s="89"/>
    </row>
    <row r="600" spans="3:3">
      <c r="C600" s="89"/>
    </row>
    <row r="601" spans="3:3">
      <c r="C601" s="89"/>
    </row>
    <row r="602" spans="3:3">
      <c r="C602" s="89"/>
    </row>
    <row r="603" spans="3:3">
      <c r="C603" s="89"/>
    </row>
    <row r="604" spans="3:3">
      <c r="C604" s="89"/>
    </row>
    <row r="605" spans="3:3">
      <c r="C605" s="89"/>
    </row>
    <row r="606" spans="3:3">
      <c r="C606" s="89"/>
    </row>
    <row r="607" spans="3:3">
      <c r="C607" s="89"/>
    </row>
    <row r="608" spans="3:3">
      <c r="C608" s="89"/>
    </row>
    <row r="609" spans="3:3">
      <c r="C609" s="89"/>
    </row>
    <row r="610" spans="3:3">
      <c r="C610" s="89"/>
    </row>
    <row r="611" spans="3:3">
      <c r="C611" s="89"/>
    </row>
    <row r="612" spans="3:3">
      <c r="C612" s="89"/>
    </row>
    <row r="613" spans="3:3">
      <c r="C613" s="89"/>
    </row>
    <row r="614" spans="3:3">
      <c r="C614" s="89"/>
    </row>
    <row r="615" spans="3:3">
      <c r="C615" s="89"/>
    </row>
    <row r="616" spans="3:3">
      <c r="C616" s="89"/>
    </row>
    <row r="617" spans="3:3">
      <c r="C617" s="89"/>
    </row>
    <row r="618" spans="3:3">
      <c r="C618" s="89"/>
    </row>
    <row r="619" spans="3:3">
      <c r="C619" s="89"/>
    </row>
    <row r="620" spans="3:3">
      <c r="C620" s="89"/>
    </row>
    <row r="621" spans="3:3">
      <c r="C621" s="89"/>
    </row>
    <row r="622" spans="3:3">
      <c r="C622" s="89"/>
    </row>
    <row r="623" spans="3:3">
      <c r="C623" s="89"/>
    </row>
    <row r="624" spans="3:3">
      <c r="C624" s="89"/>
    </row>
    <row r="625" spans="3:3">
      <c r="C625" s="89"/>
    </row>
    <row r="626" spans="3:3">
      <c r="C626" s="89"/>
    </row>
    <row r="627" spans="3:3">
      <c r="C627" s="89"/>
    </row>
    <row r="628" spans="3:3">
      <c r="C628" s="89"/>
    </row>
    <row r="629" spans="3:3">
      <c r="C629" s="89"/>
    </row>
    <row r="630" spans="3:3">
      <c r="C630" s="89"/>
    </row>
    <row r="631" spans="3:3">
      <c r="C631" s="89"/>
    </row>
    <row r="632" spans="3:3">
      <c r="C632" s="89"/>
    </row>
    <row r="633" spans="3:3">
      <c r="C633" s="89"/>
    </row>
    <row r="634" spans="3:3">
      <c r="C634" s="89"/>
    </row>
    <row r="635" spans="3:3">
      <c r="C635" s="89"/>
    </row>
    <row r="636" spans="3:3">
      <c r="C636" s="89"/>
    </row>
    <row r="637" spans="3:3">
      <c r="C637" s="89"/>
    </row>
    <row r="638" spans="3:3">
      <c r="C638" s="89"/>
    </row>
    <row r="639" spans="3:3">
      <c r="C639" s="89"/>
    </row>
    <row r="640" spans="3:3">
      <c r="C640" s="89"/>
    </row>
    <row r="641" spans="3:3">
      <c r="C641" s="89"/>
    </row>
    <row r="642" spans="3:3">
      <c r="C642" s="89"/>
    </row>
    <row r="643" spans="3:3">
      <c r="C643" s="89"/>
    </row>
    <row r="644" spans="3:3">
      <c r="C644" s="89"/>
    </row>
    <row r="645" spans="3:3">
      <c r="C645" s="89"/>
    </row>
    <row r="646" spans="3:3">
      <c r="C646" s="89"/>
    </row>
    <row r="647" spans="3:3">
      <c r="C647" s="89"/>
    </row>
    <row r="648" spans="3:3">
      <c r="C648" s="89"/>
    </row>
    <row r="649" spans="3:3">
      <c r="C649" s="89"/>
    </row>
    <row r="650" spans="3:3">
      <c r="C650" s="89"/>
    </row>
    <row r="651" spans="3:3">
      <c r="C651" s="89"/>
    </row>
    <row r="652" spans="3:3">
      <c r="C652" s="89"/>
    </row>
    <row r="653" spans="3:3">
      <c r="C653" s="89"/>
    </row>
    <row r="654" spans="3:3">
      <c r="C654" s="89"/>
    </row>
    <row r="655" spans="3:3">
      <c r="C655" s="89"/>
    </row>
    <row r="656" spans="3:3">
      <c r="C656" s="89"/>
    </row>
    <row r="657" spans="3:3">
      <c r="C657" s="89"/>
    </row>
    <row r="658" spans="3:3">
      <c r="C658" s="89"/>
    </row>
    <row r="659" spans="3:3">
      <c r="C659" s="89"/>
    </row>
    <row r="660" spans="3:3">
      <c r="C660" s="89"/>
    </row>
    <row r="661" spans="3:3">
      <c r="C661" s="89"/>
    </row>
    <row r="662" spans="3:3">
      <c r="C662" s="89"/>
    </row>
    <row r="663" spans="3:3">
      <c r="C663" s="89"/>
    </row>
    <row r="664" spans="3:3">
      <c r="C664" s="89"/>
    </row>
    <row r="665" spans="3:3">
      <c r="C665" s="89"/>
    </row>
    <row r="666" spans="3:3">
      <c r="C666" s="89"/>
    </row>
    <row r="667" spans="3:3">
      <c r="C667" s="89"/>
    </row>
    <row r="668" spans="3:3">
      <c r="C668" s="89"/>
    </row>
    <row r="669" spans="3:3">
      <c r="C669" s="89"/>
    </row>
    <row r="670" spans="3:3">
      <c r="C670" s="89"/>
    </row>
    <row r="671" spans="3:3">
      <c r="C671" s="89"/>
    </row>
    <row r="672" spans="3:3">
      <c r="C672" s="89"/>
    </row>
    <row r="673" spans="3:3">
      <c r="C673" s="89"/>
    </row>
    <row r="674" spans="3:3">
      <c r="C674" s="89"/>
    </row>
    <row r="675" spans="3:3">
      <c r="C675" s="89"/>
    </row>
    <row r="676" spans="3:3">
      <c r="C676" s="89"/>
    </row>
    <row r="677" spans="3:3">
      <c r="C677" s="89"/>
    </row>
    <row r="678" spans="3:3">
      <c r="C678" s="89"/>
    </row>
    <row r="679" spans="3:3">
      <c r="C679" s="89"/>
    </row>
    <row r="680" spans="3:3">
      <c r="C680" s="89"/>
    </row>
    <row r="681" spans="3:3">
      <c r="C681" s="89"/>
    </row>
    <row r="682" spans="3:3">
      <c r="C682" s="89"/>
    </row>
    <row r="683" spans="3:3">
      <c r="C683" s="89"/>
    </row>
    <row r="684" spans="3:3">
      <c r="C684" s="89"/>
    </row>
    <row r="685" spans="3:3">
      <c r="C685" s="89"/>
    </row>
    <row r="686" spans="3:3">
      <c r="C686" s="89"/>
    </row>
    <row r="687" spans="3:3">
      <c r="C687" s="89"/>
    </row>
    <row r="688" spans="3:3">
      <c r="C688" s="89"/>
    </row>
    <row r="689" spans="3:3">
      <c r="C689" s="89"/>
    </row>
    <row r="690" spans="3:3">
      <c r="C690" s="89"/>
    </row>
    <row r="691" spans="3:3">
      <c r="C691" s="89"/>
    </row>
    <row r="692" spans="3:3">
      <c r="C692" s="89"/>
    </row>
    <row r="693" spans="3:3">
      <c r="C693" s="89"/>
    </row>
    <row r="694" spans="3:3">
      <c r="C694" s="89"/>
    </row>
    <row r="695" spans="3:3">
      <c r="C695" s="89"/>
    </row>
    <row r="696" spans="3:3">
      <c r="C696" s="89"/>
    </row>
    <row r="697" spans="3:3">
      <c r="C697" s="89"/>
    </row>
    <row r="698" spans="3:3">
      <c r="C698" s="89"/>
    </row>
    <row r="699" spans="3:3">
      <c r="C699" s="89"/>
    </row>
    <row r="700" spans="3:3">
      <c r="C700" s="89"/>
    </row>
    <row r="701" spans="3:3">
      <c r="C701" s="89"/>
    </row>
    <row r="702" spans="3:3">
      <c r="C702" s="89"/>
    </row>
    <row r="703" spans="3:3">
      <c r="C703" s="89"/>
    </row>
    <row r="704" spans="3:3">
      <c r="C704" s="89"/>
    </row>
    <row r="705" spans="3:3">
      <c r="C705" s="89"/>
    </row>
    <row r="706" spans="3:3">
      <c r="C706" s="89"/>
    </row>
    <row r="707" spans="3:3">
      <c r="C707" s="89"/>
    </row>
    <row r="708" spans="3:3">
      <c r="C708" s="89"/>
    </row>
    <row r="709" spans="3:3">
      <c r="C709" s="89"/>
    </row>
    <row r="710" spans="3:3">
      <c r="C710" s="89"/>
    </row>
    <row r="711" spans="3:3">
      <c r="C711" s="89"/>
    </row>
    <row r="712" spans="3:3">
      <c r="C712" s="89"/>
    </row>
    <row r="713" spans="3:3">
      <c r="C713" s="89"/>
    </row>
    <row r="714" spans="3:3">
      <c r="C714" s="89"/>
    </row>
    <row r="715" spans="3:3">
      <c r="C715" s="89"/>
    </row>
    <row r="716" spans="3:3">
      <c r="C716" s="89"/>
    </row>
    <row r="717" spans="3:3">
      <c r="C717" s="89"/>
    </row>
    <row r="718" spans="3:3">
      <c r="C718" s="89"/>
    </row>
    <row r="719" spans="3:3">
      <c r="C719" s="89"/>
    </row>
    <row r="720" spans="3:3">
      <c r="C720" s="89"/>
    </row>
    <row r="721" spans="3:3">
      <c r="C721" s="89"/>
    </row>
    <row r="722" spans="3:3">
      <c r="C722" s="89"/>
    </row>
    <row r="723" spans="3:3">
      <c r="C723" s="89"/>
    </row>
    <row r="724" spans="3:3">
      <c r="C724" s="89"/>
    </row>
    <row r="725" spans="3:3">
      <c r="C725" s="89"/>
    </row>
    <row r="726" spans="3:3">
      <c r="C726" s="89"/>
    </row>
    <row r="727" spans="3:3">
      <c r="C727" s="89"/>
    </row>
    <row r="728" spans="3:3">
      <c r="C728" s="89"/>
    </row>
    <row r="729" spans="3:3">
      <c r="C729" s="89"/>
    </row>
    <row r="730" spans="3:3">
      <c r="C730" s="89"/>
    </row>
    <row r="731" spans="3:3">
      <c r="C731" s="89"/>
    </row>
    <row r="732" spans="3:3">
      <c r="C732" s="89"/>
    </row>
    <row r="733" spans="3:3">
      <c r="C733" s="89"/>
    </row>
    <row r="734" spans="3:3">
      <c r="C734" s="89"/>
    </row>
    <row r="735" spans="3:3">
      <c r="C735" s="89"/>
    </row>
    <row r="736" spans="3:3">
      <c r="C736" s="89"/>
    </row>
    <row r="737" spans="3:3">
      <c r="C737" s="89"/>
    </row>
    <row r="738" spans="3:3">
      <c r="C738" s="89"/>
    </row>
    <row r="739" spans="3:3">
      <c r="C739" s="89"/>
    </row>
    <row r="740" spans="3:3">
      <c r="C740" s="89"/>
    </row>
    <row r="741" spans="3:3">
      <c r="C741" s="89"/>
    </row>
    <row r="742" spans="3:3">
      <c r="C742" s="89"/>
    </row>
    <row r="743" spans="3:3">
      <c r="C743" s="89"/>
    </row>
    <row r="744" spans="3:3">
      <c r="C744" s="89"/>
    </row>
    <row r="745" spans="3:3">
      <c r="C745" s="89"/>
    </row>
    <row r="746" spans="3:3">
      <c r="C746" s="89"/>
    </row>
    <row r="747" spans="3:3">
      <c r="C747" s="89"/>
    </row>
    <row r="748" spans="3:3">
      <c r="C748" s="89"/>
    </row>
    <row r="749" spans="3:3">
      <c r="C749" s="89"/>
    </row>
    <row r="750" spans="3:3">
      <c r="C750" s="89"/>
    </row>
    <row r="751" spans="3:3">
      <c r="C751" s="89"/>
    </row>
    <row r="752" spans="3:3">
      <c r="C752" s="89"/>
    </row>
    <row r="753" spans="3:3">
      <c r="C753" s="89"/>
    </row>
    <row r="754" spans="3:3">
      <c r="C754" s="89"/>
    </row>
    <row r="755" spans="3:3">
      <c r="C755" s="89"/>
    </row>
    <row r="756" spans="3:3">
      <c r="C756" s="89"/>
    </row>
    <row r="757" spans="3:3">
      <c r="C757" s="89"/>
    </row>
    <row r="758" spans="3:3">
      <c r="C758" s="89"/>
    </row>
    <row r="759" spans="3:3">
      <c r="C759" s="89"/>
    </row>
    <row r="760" spans="3:3">
      <c r="C760" s="89"/>
    </row>
    <row r="761" spans="3:3">
      <c r="C761" s="89"/>
    </row>
    <row r="762" spans="3:3">
      <c r="C762" s="89"/>
    </row>
    <row r="763" spans="3:3">
      <c r="C763" s="89"/>
    </row>
    <row r="764" spans="3:3">
      <c r="C764" s="89"/>
    </row>
    <row r="765" spans="3:3">
      <c r="C765" s="89"/>
    </row>
    <row r="766" spans="3:3">
      <c r="C766" s="89"/>
    </row>
    <row r="767" spans="3:3">
      <c r="C767" s="89"/>
    </row>
    <row r="768" spans="3:3">
      <c r="C768" s="89"/>
    </row>
    <row r="769" spans="3:3">
      <c r="C769" s="89"/>
    </row>
    <row r="770" spans="3:3">
      <c r="C770" s="89"/>
    </row>
    <row r="771" spans="3:3">
      <c r="C771" s="89"/>
    </row>
    <row r="772" spans="3:3">
      <c r="C772" s="89"/>
    </row>
    <row r="773" spans="3:3">
      <c r="C773" s="89"/>
    </row>
    <row r="774" spans="3:3">
      <c r="C774" s="89"/>
    </row>
    <row r="775" spans="3:3">
      <c r="C775" s="89"/>
    </row>
    <row r="776" spans="3:3">
      <c r="C776" s="89"/>
    </row>
    <row r="777" spans="3:3">
      <c r="C777" s="89"/>
    </row>
    <row r="778" spans="3:3">
      <c r="C778" s="89"/>
    </row>
    <row r="779" spans="3:3">
      <c r="C779" s="89"/>
    </row>
    <row r="780" spans="3:3">
      <c r="C780" s="89"/>
    </row>
    <row r="781" spans="3:3">
      <c r="C781" s="89"/>
    </row>
    <row r="782" spans="3:3">
      <c r="C782" s="89"/>
    </row>
    <row r="783" spans="3:3">
      <c r="C783" s="89"/>
    </row>
    <row r="784" spans="3:3">
      <c r="C784" s="89"/>
    </row>
    <row r="785" spans="3:3">
      <c r="C785" s="89"/>
    </row>
    <row r="786" spans="3:3">
      <c r="C786" s="89"/>
    </row>
    <row r="787" spans="3:3">
      <c r="C787" s="89"/>
    </row>
    <row r="788" spans="3:3">
      <c r="C788" s="89"/>
    </row>
    <row r="789" spans="3:3">
      <c r="C789" s="89"/>
    </row>
    <row r="790" spans="3:3">
      <c r="C790" s="89"/>
    </row>
    <row r="791" spans="3:3">
      <c r="C791" s="89"/>
    </row>
    <row r="792" spans="3:3">
      <c r="C792" s="89"/>
    </row>
    <row r="793" spans="3:3">
      <c r="C793" s="89"/>
    </row>
    <row r="794" spans="3:3">
      <c r="C794" s="89"/>
    </row>
    <row r="795" spans="3:3">
      <c r="C795" s="89"/>
    </row>
    <row r="796" spans="3:3">
      <c r="C796" s="89"/>
    </row>
    <row r="797" spans="3:3">
      <c r="C797" s="89"/>
    </row>
    <row r="798" spans="3:3">
      <c r="C798" s="89"/>
    </row>
    <row r="799" spans="3:3">
      <c r="C799" s="89"/>
    </row>
    <row r="800" spans="3:3">
      <c r="C800" s="89"/>
    </row>
    <row r="801" spans="3:3">
      <c r="C801" s="89"/>
    </row>
    <row r="802" spans="3:3">
      <c r="C802" s="89"/>
    </row>
    <row r="803" spans="3:3">
      <c r="C803" s="89"/>
    </row>
    <row r="804" spans="3:3">
      <c r="C804" s="89"/>
    </row>
    <row r="805" spans="3:3">
      <c r="C805" s="89"/>
    </row>
    <row r="806" spans="3:3">
      <c r="C806" s="89"/>
    </row>
    <row r="807" spans="3:3">
      <c r="C807" s="89"/>
    </row>
    <row r="808" spans="3:3">
      <c r="C808" s="89"/>
    </row>
    <row r="809" spans="3:3">
      <c r="C809" s="89"/>
    </row>
    <row r="810" spans="3:3">
      <c r="C810" s="89"/>
    </row>
    <row r="811" spans="3:3">
      <c r="C811" s="89"/>
    </row>
    <row r="812" spans="3:3">
      <c r="C812" s="89"/>
    </row>
    <row r="813" spans="3:3">
      <c r="C813" s="89"/>
    </row>
    <row r="814" spans="3:3">
      <c r="C814" s="89"/>
    </row>
    <row r="815" spans="3:3">
      <c r="C815" s="89"/>
    </row>
    <row r="816" spans="3:3">
      <c r="C816" s="89"/>
    </row>
    <row r="817" spans="3:3">
      <c r="C817" s="89"/>
    </row>
    <row r="818" spans="3:3">
      <c r="C818" s="89"/>
    </row>
    <row r="819" spans="3:3">
      <c r="C819" s="89"/>
    </row>
    <row r="820" spans="3:3">
      <c r="C820" s="89"/>
    </row>
    <row r="821" spans="3:3">
      <c r="C821" s="89"/>
    </row>
    <row r="822" spans="3:3">
      <c r="C822" s="89"/>
    </row>
    <row r="823" spans="3:3">
      <c r="C823" s="89"/>
    </row>
    <row r="824" spans="3:3">
      <c r="C824" s="89"/>
    </row>
    <row r="825" spans="3:3">
      <c r="C825" s="89"/>
    </row>
    <row r="826" spans="3:3">
      <c r="C826" s="89"/>
    </row>
    <row r="827" spans="3:3">
      <c r="C827" s="89"/>
    </row>
    <row r="828" spans="3:3">
      <c r="C828" s="89"/>
    </row>
    <row r="829" spans="3:3">
      <c r="C829" s="89"/>
    </row>
    <row r="830" spans="3:3">
      <c r="C830" s="89"/>
    </row>
    <row r="831" spans="3:3">
      <c r="C831" s="89"/>
    </row>
    <row r="832" spans="3:3">
      <c r="C832" s="89"/>
    </row>
    <row r="833" spans="3:3">
      <c r="C833" s="89"/>
    </row>
    <row r="834" spans="3:3">
      <c r="C834" s="89"/>
    </row>
    <row r="835" spans="3:3">
      <c r="C835" s="89"/>
    </row>
    <row r="836" spans="3:3">
      <c r="C836" s="89"/>
    </row>
    <row r="837" spans="3:3">
      <c r="C837" s="89"/>
    </row>
    <row r="838" spans="3:3">
      <c r="C838" s="89"/>
    </row>
    <row r="839" spans="3:3">
      <c r="C839" s="89"/>
    </row>
    <row r="840" spans="3:3">
      <c r="C840" s="89"/>
    </row>
    <row r="841" spans="3:3">
      <c r="C841" s="89"/>
    </row>
    <row r="842" spans="3:3">
      <c r="C842" s="89"/>
    </row>
    <row r="843" spans="3:3">
      <c r="C843" s="89"/>
    </row>
    <row r="844" spans="3:3">
      <c r="C844" s="89"/>
    </row>
    <row r="845" spans="3:3">
      <c r="C845" s="89"/>
    </row>
    <row r="846" spans="3:3">
      <c r="C846" s="89"/>
    </row>
    <row r="847" spans="3:3">
      <c r="C847" s="89"/>
    </row>
    <row r="848" spans="3:3">
      <c r="C848" s="89"/>
    </row>
    <row r="849" spans="3:3">
      <c r="C849" s="89"/>
    </row>
    <row r="850" spans="3:3">
      <c r="C850" s="89"/>
    </row>
    <row r="851" spans="3:3">
      <c r="C851" s="89"/>
    </row>
    <row r="852" spans="3:3">
      <c r="C852" s="89"/>
    </row>
    <row r="853" spans="3:3">
      <c r="C853" s="89"/>
    </row>
    <row r="854" spans="3:3">
      <c r="C854" s="89"/>
    </row>
    <row r="855" spans="3:3">
      <c r="C855" s="89"/>
    </row>
    <row r="856" spans="3:3">
      <c r="C856" s="89"/>
    </row>
    <row r="857" spans="3:3">
      <c r="C857" s="89"/>
    </row>
    <row r="858" spans="3:3">
      <c r="C858" s="89"/>
    </row>
    <row r="859" spans="3:3">
      <c r="C859" s="89"/>
    </row>
    <row r="860" spans="3:3">
      <c r="C860" s="89"/>
    </row>
    <row r="861" spans="3:3">
      <c r="C861" s="89"/>
    </row>
    <row r="862" spans="3:3">
      <c r="C862" s="89"/>
    </row>
    <row r="863" spans="3:3">
      <c r="C863" s="89"/>
    </row>
    <row r="864" spans="3:3">
      <c r="C864" s="89"/>
    </row>
    <row r="865" spans="3:3">
      <c r="C865" s="89"/>
    </row>
    <row r="866" spans="3:3">
      <c r="C866" s="89"/>
    </row>
    <row r="867" spans="3:3">
      <c r="C867" s="89"/>
    </row>
    <row r="868" spans="3:3">
      <c r="C868" s="89"/>
    </row>
    <row r="869" spans="3:3">
      <c r="C869" s="89"/>
    </row>
    <row r="870" spans="3:3">
      <c r="C870" s="89"/>
    </row>
    <row r="871" spans="3:3">
      <c r="C871" s="89"/>
    </row>
    <row r="872" spans="3:3">
      <c r="C872" s="89"/>
    </row>
    <row r="873" spans="3:3">
      <c r="C873" s="89"/>
    </row>
    <row r="874" spans="3:3">
      <c r="C874" s="89"/>
    </row>
    <row r="875" spans="3:3">
      <c r="C875" s="89"/>
    </row>
    <row r="876" spans="3:3">
      <c r="C876" s="89"/>
    </row>
    <row r="877" spans="3:3">
      <c r="C877" s="89"/>
    </row>
    <row r="878" spans="3:3">
      <c r="C878" s="89"/>
    </row>
    <row r="879" spans="3:3">
      <c r="C879" s="89"/>
    </row>
    <row r="880" spans="3:3">
      <c r="C880" s="89"/>
    </row>
    <row r="881" spans="3:3">
      <c r="C881" s="89"/>
    </row>
    <row r="882" spans="3:3">
      <c r="C882" s="89"/>
    </row>
    <row r="883" spans="3:3">
      <c r="C883" s="89"/>
    </row>
    <row r="884" spans="3:3">
      <c r="C884" s="89"/>
    </row>
    <row r="885" spans="3:3">
      <c r="C885" s="89"/>
    </row>
    <row r="886" spans="3:3">
      <c r="C886" s="89"/>
    </row>
    <row r="887" spans="3:3">
      <c r="C887" s="89"/>
    </row>
    <row r="888" spans="3:3">
      <c r="C888" s="89"/>
    </row>
    <row r="889" spans="3:3">
      <c r="C889" s="89"/>
    </row>
    <row r="890" spans="3:3">
      <c r="C890" s="89"/>
    </row>
    <row r="891" spans="3:3">
      <c r="C891" s="89"/>
    </row>
    <row r="892" spans="3:3">
      <c r="C892" s="89"/>
    </row>
    <row r="893" spans="3:3">
      <c r="C893" s="89"/>
    </row>
    <row r="894" spans="3:3">
      <c r="C894" s="89"/>
    </row>
    <row r="895" spans="3:3">
      <c r="C895" s="89"/>
    </row>
    <row r="896" spans="3:3">
      <c r="C896" s="89"/>
    </row>
    <row r="897" spans="3:3">
      <c r="C897" s="89"/>
    </row>
    <row r="898" spans="3:3">
      <c r="C898" s="89"/>
    </row>
    <row r="899" spans="3:3">
      <c r="C899" s="89"/>
    </row>
    <row r="900" spans="3:3">
      <c r="C900" s="89"/>
    </row>
    <row r="901" spans="3:3">
      <c r="C901" s="89"/>
    </row>
    <row r="902" spans="3:3">
      <c r="C902" s="89"/>
    </row>
    <row r="903" spans="3:3">
      <c r="C903" s="89"/>
    </row>
    <row r="904" spans="3:3">
      <c r="C904" s="89"/>
    </row>
    <row r="905" spans="3:3">
      <c r="C905" s="89"/>
    </row>
    <row r="906" spans="3:3">
      <c r="C906" s="89"/>
    </row>
    <row r="907" spans="3:3">
      <c r="C907" s="89"/>
    </row>
    <row r="908" spans="3:3">
      <c r="C908" s="89"/>
    </row>
    <row r="909" spans="3:3">
      <c r="C909" s="89"/>
    </row>
    <row r="910" spans="3:3">
      <c r="C910" s="89"/>
    </row>
    <row r="911" spans="3:3">
      <c r="C911" s="89"/>
    </row>
    <row r="912" spans="3:3">
      <c r="C912" s="89"/>
    </row>
    <row r="913" spans="3:3">
      <c r="C913" s="89"/>
    </row>
    <row r="914" spans="3:3">
      <c r="C914" s="89"/>
    </row>
    <row r="915" spans="3:3">
      <c r="C915" s="89"/>
    </row>
    <row r="916" spans="3:3">
      <c r="C916" s="89"/>
    </row>
    <row r="917" spans="3:3">
      <c r="C917" s="89"/>
    </row>
    <row r="918" spans="3:3">
      <c r="C918" s="89"/>
    </row>
    <row r="919" spans="3:3">
      <c r="C919" s="89"/>
    </row>
    <row r="920" spans="3:3">
      <c r="C920" s="89"/>
    </row>
    <row r="921" spans="3:3">
      <c r="C921" s="89"/>
    </row>
    <row r="922" spans="3:3">
      <c r="C922" s="89"/>
    </row>
    <row r="923" spans="3:3">
      <c r="C923" s="89"/>
    </row>
    <row r="924" spans="3:3">
      <c r="C924" s="89"/>
    </row>
    <row r="925" spans="3:3">
      <c r="C925" s="89"/>
    </row>
    <row r="926" spans="3:3">
      <c r="C926" s="89"/>
    </row>
    <row r="927" spans="3:3">
      <c r="C927" s="89"/>
    </row>
    <row r="928" spans="3:3">
      <c r="C928" s="89"/>
    </row>
    <row r="929" spans="3:3">
      <c r="C929" s="89"/>
    </row>
    <row r="930" spans="3:3">
      <c r="C930" s="89"/>
    </row>
    <row r="931" spans="3:3">
      <c r="C931" s="89"/>
    </row>
    <row r="932" spans="3:3">
      <c r="C932" s="89"/>
    </row>
    <row r="933" spans="3:3">
      <c r="C933" s="89"/>
    </row>
    <row r="934" spans="3:3">
      <c r="C934" s="89"/>
    </row>
    <row r="935" spans="3:3">
      <c r="C935" s="89"/>
    </row>
    <row r="936" spans="3:3">
      <c r="C936" s="89"/>
    </row>
    <row r="937" spans="3:3">
      <c r="C937" s="89"/>
    </row>
    <row r="938" spans="3:3">
      <c r="C938" s="89"/>
    </row>
    <row r="939" spans="3:3">
      <c r="C939" s="89"/>
    </row>
    <row r="940" spans="3:3">
      <c r="C940" s="89"/>
    </row>
    <row r="941" spans="3:3">
      <c r="C941" s="89"/>
    </row>
    <row r="942" spans="3:3">
      <c r="C942" s="89"/>
    </row>
    <row r="943" spans="3:3">
      <c r="C943" s="89"/>
    </row>
    <row r="944" spans="3:3">
      <c r="C944" s="89"/>
    </row>
    <row r="945" spans="3:3">
      <c r="C945" s="89"/>
    </row>
    <row r="946" spans="3:3">
      <c r="C946" s="89"/>
    </row>
    <row r="947" spans="3:3">
      <c r="C947" s="89"/>
    </row>
    <row r="948" spans="3:3">
      <c r="C948" s="89"/>
    </row>
    <row r="949" spans="3:3">
      <c r="C949" s="89"/>
    </row>
    <row r="950" spans="3:3">
      <c r="C950" s="89"/>
    </row>
    <row r="951" spans="3:3">
      <c r="C951" s="89"/>
    </row>
    <row r="952" spans="3:3">
      <c r="C952" s="89"/>
    </row>
    <row r="953" spans="3:3">
      <c r="C953" s="89"/>
    </row>
    <row r="954" spans="3:3">
      <c r="C954" s="89"/>
    </row>
    <row r="955" spans="3:3">
      <c r="C955" s="89"/>
    </row>
    <row r="956" spans="3:3">
      <c r="C956" s="89"/>
    </row>
    <row r="957" spans="3:3">
      <c r="C957" s="89"/>
    </row>
    <row r="958" spans="3:3">
      <c r="C958" s="89"/>
    </row>
    <row r="959" spans="3:3">
      <c r="C959" s="89"/>
    </row>
    <row r="960" spans="3:3">
      <c r="C960" s="89"/>
    </row>
    <row r="961" spans="3:3">
      <c r="C961" s="89"/>
    </row>
    <row r="962" spans="3:3">
      <c r="C962" s="89"/>
    </row>
    <row r="963" spans="3:3">
      <c r="C963" s="89"/>
    </row>
    <row r="964" spans="3:3">
      <c r="C964" s="89"/>
    </row>
    <row r="965" spans="3:3">
      <c r="C965" s="89"/>
    </row>
    <row r="966" spans="3:3">
      <c r="C966" s="89"/>
    </row>
    <row r="967" spans="3:3">
      <c r="C967" s="89"/>
    </row>
    <row r="968" spans="3:3">
      <c r="C968" s="89"/>
    </row>
    <row r="969" spans="3:3">
      <c r="C969" s="89"/>
    </row>
    <row r="970" spans="3:3">
      <c r="C970" s="89"/>
    </row>
    <row r="971" spans="3:3">
      <c r="C971" s="89"/>
    </row>
    <row r="972" spans="3:3">
      <c r="C972" s="89"/>
    </row>
    <row r="973" spans="3:3">
      <c r="C973" s="89"/>
    </row>
    <row r="974" spans="3:3">
      <c r="C974" s="89"/>
    </row>
    <row r="975" spans="3:3">
      <c r="C975" s="89"/>
    </row>
    <row r="976" spans="3:3">
      <c r="C976" s="89"/>
    </row>
    <row r="977" spans="3:3">
      <c r="C977" s="89"/>
    </row>
    <row r="978" spans="3:3">
      <c r="C978" s="89"/>
    </row>
    <row r="979" spans="3:3">
      <c r="C979" s="89"/>
    </row>
    <row r="980" spans="3:3">
      <c r="C980" s="89"/>
    </row>
    <row r="981" spans="3:3">
      <c r="C981" s="89"/>
    </row>
    <row r="982" spans="3:3">
      <c r="C982" s="89"/>
    </row>
    <row r="983" spans="3:3">
      <c r="C983" s="89"/>
    </row>
    <row r="984" spans="3:3">
      <c r="C984" s="89"/>
    </row>
    <row r="985" spans="3:3">
      <c r="C985" s="89"/>
    </row>
    <row r="986" spans="3:3">
      <c r="C986" s="89"/>
    </row>
    <row r="987" spans="3:3">
      <c r="C987" s="89"/>
    </row>
    <row r="988" spans="3:3">
      <c r="C988" s="89"/>
    </row>
    <row r="989" spans="3:3">
      <c r="C989" s="89"/>
    </row>
    <row r="990" spans="3:3">
      <c r="C990" s="89"/>
    </row>
    <row r="991" spans="3:3">
      <c r="C991" s="89"/>
    </row>
    <row r="992" spans="3:3">
      <c r="C992" s="89"/>
    </row>
    <row r="993" spans="3:3">
      <c r="C993" s="89"/>
    </row>
    <row r="994" spans="3:3">
      <c r="C994" s="89"/>
    </row>
    <row r="995" spans="3:3">
      <c r="C995" s="89"/>
    </row>
    <row r="996" spans="3:3">
      <c r="C996" s="89"/>
    </row>
    <row r="997" spans="3:3">
      <c r="C997" s="89"/>
    </row>
    <row r="998" spans="3:3">
      <c r="C998" s="89"/>
    </row>
    <row r="999" spans="3:3">
      <c r="C999" s="89"/>
    </row>
    <row r="1000" spans="3:3">
      <c r="C1000" s="89"/>
    </row>
  </sheetData>
  <pageMargins left="0.7" right="0.7" top="0.75" bottom="0.75" header="0.3" footer="0.3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000"/>
  <sheetViews>
    <sheetView workbookViewId="0"/>
  </sheetViews>
  <sheetFormatPr defaultColWidth="12.6640625" defaultRowHeight="15.75" customHeight="1"/>
  <cols>
    <col min="1" max="4" width="12.6640625" customWidth="1"/>
    <col min="5" max="5" width="45" customWidth="1"/>
    <col min="6" max="6" width="2.88671875" customWidth="1"/>
    <col min="7" max="7" width="44.77734375" customWidth="1"/>
    <col min="8" max="8" width="39.88671875" customWidth="1"/>
  </cols>
  <sheetData>
    <row r="1" spans="1:8" ht="15.75" customHeight="1">
      <c r="A1" s="1" t="s">
        <v>48</v>
      </c>
      <c r="B1" s="1" t="s">
        <v>49</v>
      </c>
      <c r="C1" s="1" t="s">
        <v>154</v>
      </c>
      <c r="D1" s="1" t="s">
        <v>155</v>
      </c>
      <c r="E1" s="7"/>
      <c r="G1" s="93"/>
      <c r="H1" s="88"/>
    </row>
    <row r="2" spans="1:8">
      <c r="A2" s="1" t="s">
        <v>51</v>
      </c>
      <c r="B2" s="1">
        <v>106</v>
      </c>
      <c r="C2" s="1">
        <v>2357</v>
      </c>
      <c r="D2" s="1" t="s">
        <v>156</v>
      </c>
      <c r="E2" s="7"/>
      <c r="G2" s="7"/>
      <c r="H2" s="88"/>
    </row>
    <row r="3" spans="1:8">
      <c r="A3" s="1" t="s">
        <v>53</v>
      </c>
      <c r="B3" s="1">
        <v>125</v>
      </c>
      <c r="C3" s="1">
        <v>2381</v>
      </c>
      <c r="D3" s="1" t="s">
        <v>157</v>
      </c>
      <c r="E3" s="7"/>
      <c r="G3" s="7"/>
    </row>
    <row r="4" spans="1:8">
      <c r="A4" s="1" t="s">
        <v>61</v>
      </c>
      <c r="B4" s="1">
        <v>127</v>
      </c>
      <c r="C4" s="1">
        <v>3208</v>
      </c>
      <c r="D4" s="1" t="s">
        <v>157</v>
      </c>
      <c r="E4" s="7"/>
      <c r="G4" s="7"/>
    </row>
    <row r="5" spans="1:8">
      <c r="A5" s="1" t="s">
        <v>64</v>
      </c>
      <c r="B5" s="1">
        <v>130</v>
      </c>
      <c r="C5" s="1">
        <v>2864</v>
      </c>
      <c r="D5" s="1" t="s">
        <v>156</v>
      </c>
      <c r="E5" s="7"/>
      <c r="G5" s="7"/>
    </row>
    <row r="6" spans="1:8">
      <c r="A6" s="1" t="s">
        <v>65</v>
      </c>
      <c r="B6" s="1">
        <v>132</v>
      </c>
      <c r="C6" s="1">
        <v>1981</v>
      </c>
      <c r="D6" s="1" t="s">
        <v>156</v>
      </c>
      <c r="E6" s="7"/>
      <c r="G6" s="7"/>
    </row>
    <row r="7" spans="1:8">
      <c r="A7" s="1" t="s">
        <v>66</v>
      </c>
      <c r="B7" s="1">
        <v>144</v>
      </c>
      <c r="C7" s="1">
        <v>1200</v>
      </c>
      <c r="D7" s="1" t="s">
        <v>156</v>
      </c>
      <c r="E7" s="7"/>
      <c r="G7" s="7"/>
    </row>
    <row r="8" spans="1:8">
      <c r="A8" s="1" t="s">
        <v>70</v>
      </c>
      <c r="B8" s="1">
        <v>189</v>
      </c>
      <c r="C8" s="1">
        <v>3074</v>
      </c>
      <c r="D8" s="1" t="s">
        <v>157</v>
      </c>
      <c r="E8" s="7"/>
      <c r="G8" s="7"/>
    </row>
    <row r="9" spans="1:8">
      <c r="A9" s="1" t="s">
        <v>71</v>
      </c>
      <c r="B9" s="1">
        <v>194</v>
      </c>
      <c r="C9" s="1">
        <v>3374</v>
      </c>
      <c r="D9" s="1" t="s">
        <v>157</v>
      </c>
      <c r="E9" s="7"/>
      <c r="G9" s="7"/>
    </row>
    <row r="10" spans="1:8">
      <c r="A10" s="1" t="s">
        <v>73</v>
      </c>
      <c r="B10" s="1">
        <v>195</v>
      </c>
      <c r="C10" s="1">
        <v>1287</v>
      </c>
      <c r="D10" s="1" t="s">
        <v>156</v>
      </c>
      <c r="E10" s="7"/>
      <c r="G10" s="7"/>
    </row>
    <row r="11" spans="1:8">
      <c r="A11" s="1" t="s">
        <v>77</v>
      </c>
      <c r="B11" s="1">
        <v>199</v>
      </c>
      <c r="C11" s="1">
        <v>3154</v>
      </c>
      <c r="D11" s="1" t="s">
        <v>157</v>
      </c>
      <c r="E11" s="7"/>
      <c r="G11" s="7"/>
    </row>
    <row r="12" spans="1:8">
      <c r="A12" s="1" t="s">
        <v>79</v>
      </c>
      <c r="B12" s="1">
        <v>204</v>
      </c>
      <c r="C12" s="1">
        <v>1593</v>
      </c>
      <c r="D12" s="1" t="s">
        <v>157</v>
      </c>
      <c r="E12" s="7"/>
      <c r="G12" s="7"/>
    </row>
    <row r="13" spans="1:8">
      <c r="A13" s="1" t="s">
        <v>80</v>
      </c>
      <c r="B13" s="1">
        <v>204</v>
      </c>
      <c r="C13" s="1">
        <v>2761</v>
      </c>
      <c r="D13" s="1" t="s">
        <v>156</v>
      </c>
      <c r="E13" s="7"/>
      <c r="G13" s="7"/>
    </row>
    <row r="14" spans="1:8">
      <c r="A14" s="1" t="s">
        <v>85</v>
      </c>
      <c r="B14" s="1">
        <v>214</v>
      </c>
      <c r="C14" s="1">
        <v>3488</v>
      </c>
      <c r="D14" s="1" t="s">
        <v>157</v>
      </c>
      <c r="E14" s="7"/>
      <c r="G14" s="7"/>
    </row>
    <row r="15" spans="1:8">
      <c r="A15" s="1" t="s">
        <v>86</v>
      </c>
      <c r="B15" s="1">
        <v>242</v>
      </c>
      <c r="C15" s="1">
        <v>822</v>
      </c>
      <c r="D15" s="1" t="s">
        <v>157</v>
      </c>
      <c r="E15" s="7"/>
      <c r="G15" s="7"/>
    </row>
    <row r="16" spans="1:8">
      <c r="A16" s="1" t="s">
        <v>88</v>
      </c>
      <c r="B16" s="1">
        <v>259</v>
      </c>
      <c r="C16" s="1">
        <v>1955</v>
      </c>
      <c r="D16" s="1" t="s">
        <v>157</v>
      </c>
      <c r="E16" s="7"/>
      <c r="G16" s="7"/>
    </row>
    <row r="17" spans="1:7">
      <c r="A17" s="1" t="s">
        <v>89</v>
      </c>
      <c r="B17" s="1">
        <v>263</v>
      </c>
      <c r="C17" s="1">
        <v>3103</v>
      </c>
      <c r="D17" s="1" t="s">
        <v>156</v>
      </c>
      <c r="E17" s="7"/>
      <c r="G17" s="7"/>
    </row>
    <row r="18" spans="1:7">
      <c r="A18" s="1" t="s">
        <v>90</v>
      </c>
      <c r="B18" s="1">
        <v>303</v>
      </c>
      <c r="C18" s="1">
        <v>1685</v>
      </c>
      <c r="D18" s="1" t="s">
        <v>156</v>
      </c>
      <c r="E18" s="7"/>
      <c r="G18" s="7"/>
    </row>
    <row r="19" spans="1:7">
      <c r="A19" s="1" t="s">
        <v>91</v>
      </c>
      <c r="B19" s="1">
        <v>320</v>
      </c>
      <c r="C19" s="1">
        <v>1358</v>
      </c>
      <c r="D19" s="1" t="s">
        <v>156</v>
      </c>
      <c r="E19" s="7"/>
      <c r="G19" s="7"/>
    </row>
    <row r="20" spans="1:7">
      <c r="A20" s="1" t="s">
        <v>92</v>
      </c>
      <c r="B20" s="1">
        <v>323</v>
      </c>
      <c r="C20" s="1">
        <v>3385</v>
      </c>
      <c r="D20" s="1" t="s">
        <v>157</v>
      </c>
      <c r="E20" s="7"/>
      <c r="G20" s="7"/>
    </row>
    <row r="21" spans="1:7">
      <c r="A21" s="1" t="s">
        <v>94</v>
      </c>
      <c r="B21" s="1">
        <v>325</v>
      </c>
      <c r="C21" s="1">
        <v>913</v>
      </c>
      <c r="D21" s="1" t="s">
        <v>156</v>
      </c>
      <c r="E21" s="7"/>
    </row>
    <row r="22" spans="1:7">
      <c r="A22" s="1" t="s">
        <v>55</v>
      </c>
      <c r="B22" s="1">
        <v>328</v>
      </c>
      <c r="C22" s="1">
        <v>2050</v>
      </c>
      <c r="D22" s="1" t="s">
        <v>156</v>
      </c>
      <c r="E22" s="7"/>
    </row>
    <row r="23" spans="1:7">
      <c r="A23" s="1" t="s">
        <v>57</v>
      </c>
      <c r="B23" s="1">
        <v>338</v>
      </c>
      <c r="C23" s="1">
        <v>784</v>
      </c>
      <c r="D23" s="1" t="s">
        <v>157</v>
      </c>
      <c r="E23" s="7"/>
    </row>
    <row r="24" spans="1:7">
      <c r="A24" s="1" t="s">
        <v>59</v>
      </c>
      <c r="B24" s="1">
        <v>350</v>
      </c>
      <c r="C24" s="1">
        <v>1011</v>
      </c>
      <c r="D24" s="1" t="s">
        <v>156</v>
      </c>
      <c r="E24" s="7"/>
    </row>
    <row r="25" spans="1:7">
      <c r="A25" s="1" t="s">
        <v>62</v>
      </c>
      <c r="B25" s="1">
        <v>370</v>
      </c>
      <c r="C25" s="1">
        <v>3100</v>
      </c>
      <c r="D25" s="1" t="s">
        <v>156</v>
      </c>
      <c r="E25" s="7"/>
    </row>
    <row r="26" spans="1:7">
      <c r="A26" s="1" t="s">
        <v>67</v>
      </c>
      <c r="B26" s="1">
        <v>381</v>
      </c>
      <c r="C26" s="1">
        <v>2696</v>
      </c>
      <c r="D26" s="1" t="s">
        <v>156</v>
      </c>
      <c r="E26" s="7"/>
    </row>
    <row r="27" spans="1:7" ht="13.2">
      <c r="A27" s="1" t="s">
        <v>68</v>
      </c>
      <c r="B27" s="1">
        <v>384</v>
      </c>
      <c r="C27" s="1">
        <v>1638</v>
      </c>
      <c r="D27" s="1" t="s">
        <v>157</v>
      </c>
      <c r="E27" s="7"/>
    </row>
    <row r="28" spans="1:7" ht="13.2">
      <c r="A28" s="1" t="s">
        <v>69</v>
      </c>
      <c r="B28" s="1">
        <v>384</v>
      </c>
      <c r="C28" s="1">
        <v>2016</v>
      </c>
      <c r="D28" s="1" t="s">
        <v>157</v>
      </c>
      <c r="E28" s="7"/>
    </row>
    <row r="29" spans="1:7" ht="13.2">
      <c r="A29" s="1" t="s">
        <v>72</v>
      </c>
      <c r="B29" s="1">
        <v>444</v>
      </c>
      <c r="C29" s="1">
        <v>3245</v>
      </c>
      <c r="D29" s="1" t="s">
        <v>157</v>
      </c>
      <c r="E29" s="7"/>
    </row>
    <row r="30" spans="1:7" ht="13.2">
      <c r="A30" s="1" t="s">
        <v>74</v>
      </c>
      <c r="B30" s="1">
        <v>448</v>
      </c>
      <c r="C30" s="1">
        <v>1166</v>
      </c>
      <c r="D30" s="1" t="s">
        <v>156</v>
      </c>
      <c r="E30" s="7"/>
    </row>
    <row r="31" spans="1:7" ht="13.2">
      <c r="A31" s="1" t="s">
        <v>75</v>
      </c>
      <c r="B31" s="1">
        <v>452</v>
      </c>
      <c r="C31" s="1">
        <v>2995</v>
      </c>
      <c r="D31" s="1" t="s">
        <v>157</v>
      </c>
      <c r="E31" s="7"/>
    </row>
    <row r="32" spans="1:7" ht="13.2">
      <c r="A32" s="1" t="s">
        <v>76</v>
      </c>
      <c r="B32" s="1">
        <v>467</v>
      </c>
      <c r="C32" s="1">
        <v>792</v>
      </c>
      <c r="D32" s="1" t="s">
        <v>156</v>
      </c>
      <c r="E32" s="7"/>
    </row>
    <row r="33" spans="1:5" ht="13.2">
      <c r="A33" s="1" t="s">
        <v>78</v>
      </c>
      <c r="B33" s="1">
        <v>489</v>
      </c>
      <c r="C33" s="1">
        <v>3299</v>
      </c>
      <c r="D33" s="1" t="s">
        <v>157</v>
      </c>
      <c r="E33" s="7"/>
    </row>
    <row r="34" spans="1:5" ht="13.2">
      <c r="A34" s="1" t="s">
        <v>81</v>
      </c>
      <c r="B34" s="1">
        <v>529</v>
      </c>
      <c r="C34" s="1">
        <v>1453</v>
      </c>
      <c r="D34" s="1" t="s">
        <v>157</v>
      </c>
      <c r="E34" s="7"/>
    </row>
    <row r="35" spans="1:5" ht="13.2">
      <c r="A35" s="1" t="s">
        <v>82</v>
      </c>
      <c r="B35" s="1">
        <v>532</v>
      </c>
      <c r="C35" s="1">
        <v>3033</v>
      </c>
      <c r="D35" s="1" t="s">
        <v>157</v>
      </c>
      <c r="E35" s="7"/>
    </row>
    <row r="36" spans="1:5" ht="13.2">
      <c r="A36" s="1" t="s">
        <v>83</v>
      </c>
      <c r="B36" s="1">
        <v>532</v>
      </c>
      <c r="C36" s="1">
        <v>1994</v>
      </c>
      <c r="D36" s="1" t="s">
        <v>156</v>
      </c>
      <c r="E36" s="7"/>
    </row>
    <row r="37" spans="1:5" ht="13.2">
      <c r="A37" s="1" t="s">
        <v>84</v>
      </c>
      <c r="B37" s="1">
        <v>559</v>
      </c>
      <c r="C37" s="1">
        <v>2056</v>
      </c>
      <c r="D37" s="1" t="s">
        <v>157</v>
      </c>
      <c r="E37" s="7"/>
    </row>
    <row r="38" spans="1:5" ht="13.2">
      <c r="A38" s="1" t="s">
        <v>87</v>
      </c>
      <c r="B38" s="1">
        <v>617</v>
      </c>
      <c r="C38" s="1">
        <v>687</v>
      </c>
      <c r="D38" s="1" t="s">
        <v>156</v>
      </c>
      <c r="E38" s="7"/>
    </row>
    <row r="39" spans="1:5" ht="13.2">
      <c r="A39" s="1" t="s">
        <v>93</v>
      </c>
      <c r="B39" s="1">
        <v>658</v>
      </c>
      <c r="C39" s="1">
        <v>1700</v>
      </c>
      <c r="D39" s="1" t="s">
        <v>157</v>
      </c>
      <c r="E39" s="7"/>
    </row>
    <row r="40" spans="1:5" ht="13.2">
      <c r="A40" s="1" t="s">
        <v>95</v>
      </c>
      <c r="B40" s="1">
        <v>658</v>
      </c>
      <c r="C40" s="1">
        <v>826</v>
      </c>
      <c r="D40" s="1" t="s">
        <v>156</v>
      </c>
      <c r="E40" s="7"/>
    </row>
    <row r="41" spans="1:5" ht="13.2">
      <c r="A41" s="1" t="s">
        <v>96</v>
      </c>
      <c r="B41" s="1">
        <v>674</v>
      </c>
      <c r="C41" s="1">
        <v>1433</v>
      </c>
      <c r="D41" s="1" t="s">
        <v>156</v>
      </c>
      <c r="E41" s="7"/>
    </row>
    <row r="42" spans="1:5" ht="13.2"/>
    <row r="43" spans="1:5" ht="13.2"/>
    <row r="44" spans="1:5" ht="13.2"/>
    <row r="45" spans="1:5" ht="13.2"/>
    <row r="46" spans="1:5" ht="13.2"/>
    <row r="47" spans="1:5" ht="13.2"/>
    <row r="48" spans="1:5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autoFilter ref="A1:D41" xr:uid="{00000000-0009-0000-0000-00000C000000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000"/>
  <sheetViews>
    <sheetView workbookViewId="0"/>
  </sheetViews>
  <sheetFormatPr defaultColWidth="12.6640625" defaultRowHeight="15.75" customHeight="1"/>
  <cols>
    <col min="1" max="3" width="12.6640625" customWidth="1"/>
    <col min="4" max="4" width="61.6640625" customWidth="1"/>
    <col min="5" max="6" width="12.6640625" customWidth="1"/>
  </cols>
  <sheetData>
    <row r="1" spans="1:4" ht="15.75" customHeight="1">
      <c r="A1" s="1" t="s">
        <v>49</v>
      </c>
      <c r="B1" s="1" t="s">
        <v>154</v>
      </c>
      <c r="C1" s="1" t="s">
        <v>155</v>
      </c>
      <c r="D1" s="93"/>
    </row>
    <row r="2" spans="1:4">
      <c r="A2" s="1">
        <v>214</v>
      </c>
      <c r="B2" s="1">
        <v>3488</v>
      </c>
      <c r="C2" s="1" t="s">
        <v>157</v>
      </c>
      <c r="D2" s="7"/>
    </row>
    <row r="3" spans="1:4">
      <c r="A3" s="1">
        <v>125</v>
      </c>
      <c r="B3" s="1">
        <v>2381</v>
      </c>
      <c r="C3" s="1" t="s">
        <v>157</v>
      </c>
      <c r="D3" s="7"/>
    </row>
    <row r="4" spans="1:4">
      <c r="A4" s="1">
        <v>242</v>
      </c>
      <c r="B4" s="1">
        <v>822</v>
      </c>
      <c r="C4" s="1" t="s">
        <v>157</v>
      </c>
      <c r="D4" s="7"/>
    </row>
    <row r="5" spans="1:4">
      <c r="A5" s="1">
        <v>658</v>
      </c>
      <c r="B5" s="1">
        <v>1700</v>
      </c>
      <c r="C5" s="1" t="s">
        <v>157</v>
      </c>
      <c r="D5" s="7"/>
    </row>
    <row r="6" spans="1:4">
      <c r="A6" s="1">
        <v>189</v>
      </c>
      <c r="B6" s="1">
        <v>3074</v>
      </c>
      <c r="C6" s="1" t="s">
        <v>157</v>
      </c>
      <c r="D6" s="7"/>
    </row>
    <row r="7" spans="1:4">
      <c r="A7" s="1">
        <v>532</v>
      </c>
      <c r="B7" s="1">
        <v>3033</v>
      </c>
      <c r="C7" s="1" t="s">
        <v>157</v>
      </c>
      <c r="D7" s="7"/>
    </row>
    <row r="8" spans="1:4">
      <c r="A8" s="1">
        <v>323</v>
      </c>
      <c r="B8" s="1">
        <v>3385</v>
      </c>
      <c r="C8" s="1" t="s">
        <v>157</v>
      </c>
      <c r="D8" s="7"/>
    </row>
    <row r="9" spans="1:4">
      <c r="A9" s="1">
        <v>338</v>
      </c>
      <c r="B9" s="1">
        <v>784</v>
      </c>
      <c r="C9" s="1" t="s">
        <v>157</v>
      </c>
      <c r="D9" s="7"/>
    </row>
    <row r="10" spans="1:4">
      <c r="A10" s="1">
        <v>127</v>
      </c>
      <c r="B10" s="1">
        <v>3208</v>
      </c>
      <c r="C10" s="1" t="s">
        <v>157</v>
      </c>
      <c r="D10" s="7"/>
    </row>
    <row r="11" spans="1:4">
      <c r="A11" s="1">
        <v>529</v>
      </c>
      <c r="B11" s="1">
        <v>1453</v>
      </c>
      <c r="C11" s="1" t="s">
        <v>157</v>
      </c>
      <c r="D11" s="7"/>
    </row>
    <row r="12" spans="1:4">
      <c r="A12" s="1">
        <v>559</v>
      </c>
      <c r="B12" s="1">
        <v>2056</v>
      </c>
      <c r="C12" s="1" t="s">
        <v>157</v>
      </c>
      <c r="D12" s="7"/>
    </row>
    <row r="13" spans="1:4">
      <c r="A13" s="1">
        <v>384</v>
      </c>
      <c r="B13" s="1">
        <v>1638</v>
      </c>
      <c r="C13" s="1" t="s">
        <v>157</v>
      </c>
      <c r="D13" s="7"/>
    </row>
    <row r="14" spans="1:4">
      <c r="A14" s="1">
        <v>384</v>
      </c>
      <c r="B14" s="1">
        <v>2016</v>
      </c>
      <c r="C14" s="1" t="s">
        <v>157</v>
      </c>
      <c r="D14" s="7"/>
    </row>
    <row r="15" spans="1:4">
      <c r="A15" s="1">
        <v>259</v>
      </c>
      <c r="B15" s="1">
        <v>1955</v>
      </c>
      <c r="C15" s="1" t="s">
        <v>157</v>
      </c>
      <c r="D15" s="7"/>
    </row>
    <row r="16" spans="1:4">
      <c r="A16" s="1">
        <v>444</v>
      </c>
      <c r="B16" s="1">
        <v>3245</v>
      </c>
      <c r="C16" s="1" t="s">
        <v>157</v>
      </c>
      <c r="D16" s="7"/>
    </row>
    <row r="17" spans="1:4">
      <c r="A17" s="1">
        <v>204</v>
      </c>
      <c r="B17" s="1">
        <v>1593</v>
      </c>
      <c r="C17" s="1" t="s">
        <v>157</v>
      </c>
      <c r="D17" s="7"/>
    </row>
    <row r="18" spans="1:4">
      <c r="A18" s="1">
        <v>194</v>
      </c>
      <c r="B18" s="1">
        <v>3374</v>
      </c>
      <c r="C18" s="1" t="s">
        <v>157</v>
      </c>
      <c r="D18" s="7"/>
    </row>
    <row r="19" spans="1:4">
      <c r="A19" s="1">
        <v>489</v>
      </c>
      <c r="B19" s="1">
        <v>3299</v>
      </c>
      <c r="C19" s="1" t="s">
        <v>157</v>
      </c>
      <c r="D19" s="7"/>
    </row>
    <row r="20" spans="1:4">
      <c r="A20" s="1">
        <v>199</v>
      </c>
      <c r="B20" s="1">
        <v>3154</v>
      </c>
      <c r="C20" s="1" t="s">
        <v>157</v>
      </c>
      <c r="D20" s="7"/>
    </row>
    <row r="21" spans="1:4">
      <c r="A21" s="1">
        <v>452</v>
      </c>
      <c r="B21" s="1">
        <v>2995</v>
      </c>
      <c r="C21" s="1" t="s">
        <v>157</v>
      </c>
      <c r="D21" s="7"/>
    </row>
    <row r="22" spans="1:4">
      <c r="A22" s="1">
        <v>381</v>
      </c>
      <c r="B22" s="1">
        <v>2696</v>
      </c>
      <c r="C22" s="1" t="s">
        <v>156</v>
      </c>
    </row>
    <row r="23" spans="1:4">
      <c r="A23" s="1">
        <v>350</v>
      </c>
      <c r="B23" s="1">
        <v>1011</v>
      </c>
      <c r="C23" s="1" t="s">
        <v>156</v>
      </c>
    </row>
    <row r="24" spans="1:4">
      <c r="A24" s="1">
        <v>328</v>
      </c>
      <c r="B24" s="1">
        <v>2050</v>
      </c>
      <c r="C24" s="1" t="s">
        <v>156</v>
      </c>
    </row>
    <row r="25" spans="1:4">
      <c r="A25" s="1">
        <v>204</v>
      </c>
      <c r="B25" s="1">
        <v>2761</v>
      </c>
      <c r="C25" s="1" t="s">
        <v>156</v>
      </c>
    </row>
    <row r="26" spans="1:4">
      <c r="A26" s="1">
        <v>132</v>
      </c>
      <c r="B26" s="1">
        <v>1981</v>
      </c>
      <c r="C26" s="1" t="s">
        <v>156</v>
      </c>
    </row>
    <row r="27" spans="1:4" ht="13.2">
      <c r="A27" s="1">
        <v>130</v>
      </c>
      <c r="B27" s="1">
        <v>2864</v>
      </c>
      <c r="C27" s="1" t="s">
        <v>156</v>
      </c>
    </row>
    <row r="28" spans="1:4" ht="13.2">
      <c r="A28" s="1">
        <v>195</v>
      </c>
      <c r="B28" s="1">
        <v>1287</v>
      </c>
      <c r="C28" s="1" t="s">
        <v>156</v>
      </c>
    </row>
    <row r="29" spans="1:4" ht="13.2">
      <c r="A29" s="1">
        <v>617</v>
      </c>
      <c r="B29" s="1">
        <v>687</v>
      </c>
      <c r="C29" s="1" t="s">
        <v>156</v>
      </c>
    </row>
    <row r="30" spans="1:4" ht="13.2">
      <c r="A30" s="1">
        <v>674</v>
      </c>
      <c r="B30" s="1">
        <v>1433</v>
      </c>
      <c r="C30" s="1" t="s">
        <v>156</v>
      </c>
    </row>
    <row r="31" spans="1:4" ht="13.2">
      <c r="A31" s="1">
        <v>303</v>
      </c>
      <c r="B31" s="1">
        <v>1685</v>
      </c>
      <c r="C31" s="1" t="s">
        <v>156</v>
      </c>
    </row>
    <row r="32" spans="1:4" ht="13.2">
      <c r="A32" s="1">
        <v>658</v>
      </c>
      <c r="B32" s="1">
        <v>826</v>
      </c>
      <c r="C32" s="1" t="s">
        <v>156</v>
      </c>
    </row>
    <row r="33" spans="1:3" ht="13.2">
      <c r="A33" s="1">
        <v>325</v>
      </c>
      <c r="B33" s="1">
        <v>913</v>
      </c>
      <c r="C33" s="1" t="s">
        <v>156</v>
      </c>
    </row>
    <row r="34" spans="1:3" ht="13.2">
      <c r="A34" s="1">
        <v>106</v>
      </c>
      <c r="B34" s="1">
        <v>2357</v>
      </c>
      <c r="C34" s="1" t="s">
        <v>156</v>
      </c>
    </row>
    <row r="35" spans="1:3" ht="13.2">
      <c r="A35" s="1">
        <v>263</v>
      </c>
      <c r="B35" s="1">
        <v>3103</v>
      </c>
      <c r="C35" s="1" t="s">
        <v>156</v>
      </c>
    </row>
    <row r="36" spans="1:3" ht="13.2">
      <c r="A36" s="1">
        <v>532</v>
      </c>
      <c r="B36" s="1">
        <v>1994</v>
      </c>
      <c r="C36" s="1" t="s">
        <v>156</v>
      </c>
    </row>
    <row r="37" spans="1:3" ht="13.2">
      <c r="A37" s="1">
        <v>448</v>
      </c>
      <c r="B37" s="1">
        <v>1166</v>
      </c>
      <c r="C37" s="1" t="s">
        <v>156</v>
      </c>
    </row>
    <row r="38" spans="1:3" ht="13.2">
      <c r="A38" s="1">
        <v>320</v>
      </c>
      <c r="B38" s="1">
        <v>1358</v>
      </c>
      <c r="C38" s="1" t="s">
        <v>156</v>
      </c>
    </row>
    <row r="39" spans="1:3" ht="13.2">
      <c r="A39" s="1">
        <v>467</v>
      </c>
      <c r="B39" s="1">
        <v>792</v>
      </c>
      <c r="C39" s="1" t="s">
        <v>156</v>
      </c>
    </row>
    <row r="40" spans="1:3" ht="13.2">
      <c r="A40" s="1">
        <v>370</v>
      </c>
      <c r="B40" s="1">
        <v>3100</v>
      </c>
      <c r="C40" s="1" t="s">
        <v>156</v>
      </c>
    </row>
    <row r="41" spans="1:3" ht="13.2">
      <c r="A41" s="1">
        <v>144</v>
      </c>
      <c r="B41" s="1">
        <v>1200</v>
      </c>
      <c r="C41" s="1" t="s">
        <v>156</v>
      </c>
    </row>
    <row r="42" spans="1:3" ht="13.2"/>
    <row r="43" spans="1:3" ht="13.2"/>
    <row r="44" spans="1:3" ht="13.2"/>
    <row r="45" spans="1:3" ht="13.2"/>
    <row r="46" spans="1:3" ht="13.2"/>
    <row r="47" spans="1:3" ht="13.2"/>
    <row r="48" spans="1:3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autoFilter ref="A1:C41" xr:uid="{00000000-0009-0000-0000-00000D000000}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6" width="12.6640625" customWidth="1"/>
  </cols>
  <sheetData>
    <row r="1" spans="1:27">
      <c r="A1" s="94" t="s">
        <v>154</v>
      </c>
      <c r="B1" s="94" t="s">
        <v>158</v>
      </c>
      <c r="C1" s="1" t="s">
        <v>159</v>
      </c>
      <c r="D1" s="1" t="s">
        <v>155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75">
        <v>3267</v>
      </c>
      <c r="B2" s="75">
        <v>646.70717122876499</v>
      </c>
      <c r="C2" s="75"/>
      <c r="D2" s="1" t="s">
        <v>157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75">
        <v>1767</v>
      </c>
      <c r="B3" s="75">
        <v>415.210760539494</v>
      </c>
      <c r="C3" s="75"/>
      <c r="D3" s="1" t="s">
        <v>157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>
      <c r="A4" s="75">
        <v>3173</v>
      </c>
      <c r="B4" s="75">
        <v>603.68235162326505</v>
      </c>
      <c r="C4" s="75"/>
      <c r="D4" s="1" t="s">
        <v>157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75">
        <v>1856</v>
      </c>
      <c r="B5" s="75">
        <v>290.71207422927301</v>
      </c>
      <c r="C5" s="75"/>
      <c r="D5" s="1" t="s">
        <v>157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>
      <c r="A6" s="75">
        <v>2238</v>
      </c>
      <c r="B6" s="75">
        <v>459.42495849904202</v>
      </c>
      <c r="C6" s="75"/>
      <c r="D6" s="1" t="s">
        <v>157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>
      <c r="A7" s="75">
        <v>2186</v>
      </c>
      <c r="B7" s="75">
        <v>451.913648157068</v>
      </c>
      <c r="C7" s="75"/>
      <c r="D7" s="1" t="s">
        <v>157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>
      <c r="A8" s="75">
        <v>2759</v>
      </c>
      <c r="B8" s="75">
        <v>513.91971935631102</v>
      </c>
      <c r="C8" s="75"/>
      <c r="D8" s="1" t="s">
        <v>157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>
      <c r="A9" s="75">
        <v>3436</v>
      </c>
      <c r="B9" s="75">
        <v>704.33633982626895</v>
      </c>
      <c r="C9" s="75"/>
      <c r="D9" s="1" t="s">
        <v>157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>
      <c r="A10" s="75">
        <v>2368</v>
      </c>
      <c r="B10" s="75">
        <v>444.815311403517</v>
      </c>
      <c r="C10" s="75"/>
      <c r="D10" s="1" t="s">
        <v>157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>
      <c r="A11" s="75">
        <v>1810</v>
      </c>
      <c r="B11" s="75">
        <v>347.58307688606999</v>
      </c>
      <c r="C11" s="75"/>
      <c r="D11" s="1" t="s">
        <v>157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>
      <c r="A12" s="75">
        <v>2188</v>
      </c>
      <c r="B12" s="75">
        <v>428.60174612182902</v>
      </c>
      <c r="C12" s="75"/>
      <c r="D12" s="1" t="s">
        <v>157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>
      <c r="A13" s="75">
        <v>3495</v>
      </c>
      <c r="B13" s="75">
        <v>626.24167615074202</v>
      </c>
      <c r="C13" s="75"/>
      <c r="D13" s="1" t="s">
        <v>157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75">
        <v>1520</v>
      </c>
      <c r="B14" s="75">
        <v>348.614731008717</v>
      </c>
      <c r="C14" s="75"/>
      <c r="D14" s="1" t="s">
        <v>157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>
      <c r="A15" s="75">
        <v>1585</v>
      </c>
      <c r="B15" s="75">
        <v>360.68102331637601</v>
      </c>
      <c r="C15" s="75"/>
      <c r="D15" s="1" t="s">
        <v>157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>
      <c r="A16" s="75">
        <v>1925</v>
      </c>
      <c r="B16" s="75">
        <v>460.24625858626302</v>
      </c>
      <c r="C16" s="75"/>
      <c r="D16" s="1" t="s">
        <v>157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>
      <c r="A17" s="75">
        <v>3483</v>
      </c>
      <c r="B17" s="75">
        <v>545.72580503344795</v>
      </c>
      <c r="C17" s="75"/>
      <c r="D17" s="1" t="s">
        <v>157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>
      <c r="A18" s="75">
        <v>2860</v>
      </c>
      <c r="B18" s="75">
        <v>538.57066235531602</v>
      </c>
      <c r="C18" s="75"/>
      <c r="D18" s="1" t="s">
        <v>157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>
      <c r="A19" s="75">
        <v>1644</v>
      </c>
      <c r="B19" s="75">
        <v>366.14906127811503</v>
      </c>
      <c r="C19" s="75"/>
      <c r="D19" s="1" t="s">
        <v>157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>
      <c r="A20" s="75">
        <v>3373</v>
      </c>
      <c r="B20" s="75">
        <v>631.43704741220802</v>
      </c>
      <c r="C20" s="75"/>
      <c r="D20" s="1" t="s">
        <v>157</v>
      </c>
      <c r="E20" s="1"/>
      <c r="F20" s="87" t="s">
        <v>160</v>
      </c>
      <c r="G20" s="95"/>
      <c r="H20" s="95"/>
      <c r="I20" s="95"/>
      <c r="J20" s="95"/>
      <c r="K20" s="95"/>
      <c r="L20" s="95"/>
      <c r="M20" s="9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>
      <c r="A21" s="75">
        <v>1679</v>
      </c>
      <c r="B21" s="75">
        <v>294.36393613336998</v>
      </c>
      <c r="C21" s="75"/>
      <c r="D21" s="1" t="s">
        <v>157</v>
      </c>
      <c r="E21" s="1"/>
      <c r="F21" s="95"/>
      <c r="G21" s="95"/>
      <c r="H21" s="95"/>
      <c r="I21" s="95"/>
      <c r="J21" s="95"/>
      <c r="K21" s="95"/>
      <c r="L21" s="95"/>
      <c r="M21" s="9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75">
        <v>778</v>
      </c>
      <c r="C22" s="75">
        <v>116.673131288167</v>
      </c>
      <c r="D22" s="1" t="s">
        <v>156</v>
      </c>
      <c r="E22" s="1"/>
      <c r="F22" s="87" t="s">
        <v>161</v>
      </c>
      <c r="G22" s="95"/>
      <c r="H22" s="95"/>
      <c r="I22" s="95"/>
      <c r="J22" s="95"/>
      <c r="K22" s="95"/>
      <c r="L22" s="95"/>
      <c r="M22" s="9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>
      <c r="A23" s="75">
        <v>903</v>
      </c>
      <c r="C23" s="75">
        <v>68.367653860571593</v>
      </c>
      <c r="D23" s="1" t="s">
        <v>156</v>
      </c>
      <c r="E23" s="1"/>
      <c r="F23" s="95"/>
      <c r="G23" s="95"/>
      <c r="H23" s="95"/>
      <c r="I23" s="95"/>
      <c r="J23" s="95"/>
      <c r="K23" s="95"/>
      <c r="L23" s="95"/>
      <c r="M23" s="9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>
      <c r="A24" s="75">
        <v>960</v>
      </c>
      <c r="C24" s="75">
        <v>130.09614758322499</v>
      </c>
      <c r="D24" s="1" t="s">
        <v>156</v>
      </c>
      <c r="E24" s="1"/>
      <c r="F24" s="87" t="s">
        <v>162</v>
      </c>
      <c r="G24" s="95"/>
      <c r="H24" s="95"/>
      <c r="I24" s="95"/>
      <c r="J24" s="95"/>
      <c r="K24" s="95"/>
      <c r="L24" s="95"/>
      <c r="M24" s="95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>
      <c r="A25" s="75">
        <v>1352</v>
      </c>
      <c r="C25" s="75">
        <v>142.54842012044401</v>
      </c>
      <c r="D25" s="1" t="s">
        <v>156</v>
      </c>
      <c r="E25" s="1"/>
      <c r="F25" s="87" t="s">
        <v>163</v>
      </c>
      <c r="G25" s="95"/>
      <c r="H25" s="95"/>
      <c r="I25" s="95"/>
      <c r="J25" s="95"/>
      <c r="K25" s="95"/>
      <c r="L25" s="95"/>
      <c r="M25" s="9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>
      <c r="A26" s="75">
        <v>925</v>
      </c>
      <c r="C26" s="75">
        <v>128.09147139677401</v>
      </c>
      <c r="D26" s="1" t="s">
        <v>156</v>
      </c>
      <c r="E26" s="1"/>
      <c r="F26" s="83" t="s">
        <v>164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>
      <c r="A27" s="75">
        <v>775</v>
      </c>
      <c r="C27" s="75">
        <v>156.01415931364599</v>
      </c>
      <c r="D27" s="1" t="s">
        <v>156</v>
      </c>
      <c r="E27" s="1"/>
      <c r="F27" s="83" t="s">
        <v>165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>
      <c r="A28" s="75">
        <v>1204</v>
      </c>
      <c r="C28" s="75">
        <v>150.55140213203501</v>
      </c>
      <c r="D28" s="1" t="s">
        <v>156</v>
      </c>
      <c r="E28" s="1"/>
      <c r="F28" s="83" t="s">
        <v>166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>
      <c r="A29" s="75">
        <v>1013</v>
      </c>
      <c r="C29" s="75">
        <v>194.174616351976</v>
      </c>
      <c r="D29" s="1" t="s">
        <v>156</v>
      </c>
      <c r="E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75">
        <v>1164</v>
      </c>
      <c r="C30" s="75">
        <v>138.99864290967901</v>
      </c>
      <c r="D30" s="1" t="s">
        <v>156</v>
      </c>
      <c r="E30" s="1"/>
      <c r="F30" s="83" t="s">
        <v>167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75">
        <v>929</v>
      </c>
      <c r="C31" s="75">
        <v>160.67390581996801</v>
      </c>
      <c r="D31" s="1" t="s">
        <v>156</v>
      </c>
      <c r="E31" s="1"/>
      <c r="F31" s="88" t="s">
        <v>168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75">
        <v>967</v>
      </c>
      <c r="C32" s="75">
        <v>46.406148905081103</v>
      </c>
      <c r="D32" s="1" t="s">
        <v>156</v>
      </c>
      <c r="E32" s="1"/>
      <c r="F32" s="88" t="s">
        <v>169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75">
        <v>635</v>
      </c>
      <c r="C33" s="75">
        <v>148.37506769381099</v>
      </c>
      <c r="D33" s="1" t="s">
        <v>156</v>
      </c>
      <c r="E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75">
        <v>824</v>
      </c>
      <c r="C34" s="75">
        <v>173.64030721655399</v>
      </c>
      <c r="D34" s="1" t="s">
        <v>156</v>
      </c>
      <c r="E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75">
        <v>977</v>
      </c>
      <c r="C35" s="75">
        <v>168.551703035278</v>
      </c>
      <c r="D35" s="1" t="s">
        <v>156</v>
      </c>
      <c r="E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75">
        <v>1112</v>
      </c>
      <c r="C36" s="75">
        <v>143.301783191038</v>
      </c>
      <c r="D36" s="1" t="s">
        <v>156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75">
        <v>1167</v>
      </c>
      <c r="C37" s="75">
        <v>146.49211243782099</v>
      </c>
      <c r="D37" s="1" t="s">
        <v>156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75">
        <v>1365</v>
      </c>
      <c r="C38" s="75">
        <v>188.870452225544</v>
      </c>
      <c r="D38" s="1" t="s">
        <v>156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75">
        <v>1232</v>
      </c>
      <c r="C39" s="75">
        <v>186.670874290531</v>
      </c>
      <c r="D39" s="1" t="s">
        <v>156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75">
        <v>767</v>
      </c>
      <c r="C40" s="75">
        <v>88.4888094230257</v>
      </c>
      <c r="D40" s="1" t="s">
        <v>156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75">
        <v>997</v>
      </c>
      <c r="C41" s="75">
        <v>221.49325859676901</v>
      </c>
      <c r="D41" s="1" t="s">
        <v>156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94"/>
      <c r="B42" s="94"/>
      <c r="C42" s="9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94"/>
      <c r="B43" s="94"/>
      <c r="C43" s="9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94"/>
      <c r="B44" s="94"/>
      <c r="C44" s="9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94"/>
      <c r="B45" s="94"/>
      <c r="C45" s="9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94"/>
      <c r="B46" s="94"/>
      <c r="C46" s="9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94"/>
      <c r="B47" s="94"/>
      <c r="C47" s="9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94"/>
      <c r="B48" s="94"/>
      <c r="C48" s="9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94"/>
      <c r="B49" s="94"/>
      <c r="C49" s="9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94"/>
      <c r="B50" s="94"/>
      <c r="C50" s="9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94"/>
      <c r="B51" s="94"/>
      <c r="C51" s="9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94"/>
      <c r="B52" s="94"/>
      <c r="C52" s="9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94"/>
      <c r="B53" s="94"/>
      <c r="C53" s="9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94"/>
      <c r="B54" s="94"/>
      <c r="C54" s="9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94"/>
      <c r="B55" s="94"/>
      <c r="C55" s="9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94"/>
      <c r="B56" s="94"/>
      <c r="C56" s="9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94"/>
      <c r="B57" s="94"/>
      <c r="C57" s="9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94"/>
      <c r="B58" s="94"/>
      <c r="C58" s="9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94"/>
      <c r="B59" s="94"/>
      <c r="C59" s="9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94"/>
      <c r="B60" s="94"/>
      <c r="C60" s="9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94"/>
      <c r="B61" s="94"/>
      <c r="C61" s="9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94"/>
      <c r="B62" s="94"/>
      <c r="C62" s="9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94"/>
      <c r="B63" s="94"/>
      <c r="C63" s="9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94"/>
      <c r="B64" s="94"/>
      <c r="C64" s="9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94"/>
      <c r="B65" s="94"/>
      <c r="C65" s="9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94"/>
      <c r="B66" s="94"/>
      <c r="C66" s="9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94"/>
      <c r="B67" s="94"/>
      <c r="C67" s="9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94"/>
      <c r="B68" s="94"/>
      <c r="C68" s="9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94"/>
      <c r="B69" s="94"/>
      <c r="C69" s="9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94"/>
      <c r="B70" s="94"/>
      <c r="C70" s="9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94"/>
      <c r="B71" s="94"/>
      <c r="C71" s="9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94"/>
      <c r="B72" s="94"/>
      <c r="C72" s="9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94"/>
      <c r="B73" s="94"/>
      <c r="C73" s="9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94"/>
      <c r="B74" s="94"/>
      <c r="C74" s="9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94"/>
      <c r="B75" s="94"/>
      <c r="C75" s="9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94"/>
      <c r="B76" s="94"/>
      <c r="C76" s="9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94"/>
      <c r="B77" s="94"/>
      <c r="C77" s="9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94"/>
      <c r="B78" s="94"/>
      <c r="C78" s="9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94"/>
      <c r="B79" s="94"/>
      <c r="C79" s="9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94"/>
      <c r="B80" s="94"/>
      <c r="C80" s="9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94"/>
      <c r="B81" s="94"/>
      <c r="C81" s="9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94"/>
      <c r="B82" s="94"/>
      <c r="C82" s="9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94"/>
      <c r="B83" s="94"/>
      <c r="C83" s="9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94"/>
      <c r="B84" s="94"/>
      <c r="C84" s="9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94"/>
      <c r="B85" s="94"/>
      <c r="C85" s="9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94"/>
      <c r="B86" s="94"/>
      <c r="C86" s="9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94"/>
      <c r="B87" s="94"/>
      <c r="C87" s="9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94"/>
      <c r="B88" s="94"/>
      <c r="C88" s="9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94"/>
      <c r="B89" s="94"/>
      <c r="C89" s="9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94"/>
      <c r="B90" s="94"/>
      <c r="C90" s="9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94"/>
      <c r="B91" s="94"/>
      <c r="C91" s="9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94"/>
      <c r="B92" s="94"/>
      <c r="C92" s="9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94"/>
      <c r="B93" s="94"/>
      <c r="C93" s="9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94"/>
      <c r="B94" s="94"/>
      <c r="C94" s="9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94"/>
      <c r="B95" s="94"/>
      <c r="C95" s="9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94"/>
      <c r="B96" s="94"/>
      <c r="C96" s="9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94"/>
      <c r="B97" s="94"/>
      <c r="C97" s="9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94"/>
      <c r="B98" s="94"/>
      <c r="C98" s="9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94"/>
      <c r="B99" s="94"/>
      <c r="C99" s="9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94"/>
      <c r="B100" s="94"/>
      <c r="C100" s="9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94"/>
      <c r="B101" s="94"/>
      <c r="C101" s="9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94"/>
      <c r="B102" s="94"/>
      <c r="C102" s="9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94"/>
      <c r="B103" s="94"/>
      <c r="C103" s="9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94"/>
      <c r="B104" s="94"/>
      <c r="C104" s="9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94"/>
      <c r="B105" s="94"/>
      <c r="C105" s="9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94"/>
      <c r="B106" s="94"/>
      <c r="C106" s="9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94"/>
      <c r="B107" s="94"/>
      <c r="C107" s="9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94"/>
      <c r="B108" s="94"/>
      <c r="C108" s="9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94"/>
      <c r="B109" s="94"/>
      <c r="C109" s="9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94"/>
      <c r="B110" s="94"/>
      <c r="C110" s="9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94"/>
      <c r="B111" s="94"/>
      <c r="C111" s="9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94"/>
      <c r="B112" s="94"/>
      <c r="C112" s="9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94"/>
      <c r="B113" s="94"/>
      <c r="C113" s="9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94"/>
      <c r="B114" s="94"/>
      <c r="C114" s="9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94"/>
      <c r="B115" s="94"/>
      <c r="C115" s="9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94"/>
      <c r="B116" s="94"/>
      <c r="C116" s="9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94"/>
      <c r="B117" s="94"/>
      <c r="C117" s="9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94"/>
      <c r="B118" s="94"/>
      <c r="C118" s="9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94"/>
      <c r="B119" s="94"/>
      <c r="C119" s="9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94"/>
      <c r="B120" s="94"/>
      <c r="C120" s="9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94"/>
      <c r="B121" s="94"/>
      <c r="C121" s="9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94"/>
      <c r="B122" s="94"/>
      <c r="C122" s="9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94"/>
      <c r="B123" s="94"/>
      <c r="C123" s="9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94"/>
      <c r="B124" s="94"/>
      <c r="C124" s="9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94"/>
      <c r="B125" s="94"/>
      <c r="C125" s="9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94"/>
      <c r="B126" s="94"/>
      <c r="C126" s="9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94"/>
      <c r="B127" s="94"/>
      <c r="C127" s="9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94"/>
      <c r="B128" s="94"/>
      <c r="C128" s="9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94"/>
      <c r="B129" s="94"/>
      <c r="C129" s="9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94"/>
      <c r="B130" s="94"/>
      <c r="C130" s="9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94"/>
      <c r="B131" s="94"/>
      <c r="C131" s="9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94"/>
      <c r="B132" s="94"/>
      <c r="C132" s="9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94"/>
      <c r="B133" s="94"/>
      <c r="C133" s="9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94"/>
      <c r="B134" s="94"/>
      <c r="C134" s="9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94"/>
      <c r="B135" s="94"/>
      <c r="C135" s="9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94"/>
      <c r="B136" s="94"/>
      <c r="C136" s="9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94"/>
      <c r="B137" s="94"/>
      <c r="C137" s="9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94"/>
      <c r="B138" s="94"/>
      <c r="C138" s="9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94"/>
      <c r="B139" s="94"/>
      <c r="C139" s="9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94"/>
      <c r="B140" s="94"/>
      <c r="C140" s="9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94"/>
      <c r="B141" s="94"/>
      <c r="C141" s="9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94"/>
      <c r="B142" s="94"/>
      <c r="C142" s="9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94"/>
      <c r="B143" s="94"/>
      <c r="C143" s="9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94"/>
      <c r="B144" s="94"/>
      <c r="C144" s="9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94"/>
      <c r="B145" s="94"/>
      <c r="C145" s="9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94"/>
      <c r="B146" s="94"/>
      <c r="C146" s="9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94"/>
      <c r="B147" s="94"/>
      <c r="C147" s="9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94"/>
      <c r="B148" s="94"/>
      <c r="C148" s="9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94"/>
      <c r="B149" s="94"/>
      <c r="C149" s="9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94"/>
      <c r="B150" s="94"/>
      <c r="C150" s="9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94"/>
      <c r="B151" s="94"/>
      <c r="C151" s="9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94"/>
      <c r="B152" s="94"/>
      <c r="C152" s="9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94"/>
      <c r="B153" s="94"/>
      <c r="C153" s="9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94"/>
      <c r="B154" s="94"/>
      <c r="C154" s="9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94"/>
      <c r="B155" s="94"/>
      <c r="C155" s="9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94"/>
      <c r="B156" s="94"/>
      <c r="C156" s="9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94"/>
      <c r="B157" s="94"/>
      <c r="C157" s="9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94"/>
      <c r="B158" s="94"/>
      <c r="C158" s="9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94"/>
      <c r="B159" s="94"/>
      <c r="C159" s="9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94"/>
      <c r="B160" s="94"/>
      <c r="C160" s="9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94"/>
      <c r="B161" s="94"/>
      <c r="C161" s="9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94"/>
      <c r="B162" s="94"/>
      <c r="C162" s="9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94"/>
      <c r="B163" s="94"/>
      <c r="C163" s="9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94"/>
      <c r="B164" s="94"/>
      <c r="C164" s="9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94"/>
      <c r="B165" s="94"/>
      <c r="C165" s="9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94"/>
      <c r="B166" s="94"/>
      <c r="C166" s="9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94"/>
      <c r="B167" s="94"/>
      <c r="C167" s="9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94"/>
      <c r="B168" s="94"/>
      <c r="C168" s="9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94"/>
      <c r="B169" s="94"/>
      <c r="C169" s="9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94"/>
      <c r="B170" s="94"/>
      <c r="C170" s="9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94"/>
      <c r="B171" s="94"/>
      <c r="C171" s="9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94"/>
      <c r="B172" s="94"/>
      <c r="C172" s="9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94"/>
      <c r="B173" s="94"/>
      <c r="C173" s="9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94"/>
      <c r="B174" s="94"/>
      <c r="C174" s="9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94"/>
      <c r="B175" s="94"/>
      <c r="C175" s="9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94"/>
      <c r="B176" s="94"/>
      <c r="C176" s="9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94"/>
      <c r="B177" s="94"/>
      <c r="C177" s="9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94"/>
      <c r="B178" s="94"/>
      <c r="C178" s="9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94"/>
      <c r="B179" s="94"/>
      <c r="C179" s="9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94"/>
      <c r="B180" s="94"/>
      <c r="C180" s="9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94"/>
      <c r="B181" s="94"/>
      <c r="C181" s="9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94"/>
      <c r="B182" s="94"/>
      <c r="C182" s="9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94"/>
      <c r="B183" s="94"/>
      <c r="C183" s="9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94"/>
      <c r="B184" s="94"/>
      <c r="C184" s="9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94"/>
      <c r="B185" s="94"/>
      <c r="C185" s="9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94"/>
      <c r="B186" s="94"/>
      <c r="C186" s="9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94"/>
      <c r="B187" s="94"/>
      <c r="C187" s="9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94"/>
      <c r="B188" s="94"/>
      <c r="C188" s="9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94"/>
      <c r="B189" s="94"/>
      <c r="C189" s="9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94"/>
      <c r="B190" s="94"/>
      <c r="C190" s="9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94"/>
      <c r="B191" s="94"/>
      <c r="C191" s="9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94"/>
      <c r="B192" s="94"/>
      <c r="C192" s="9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94"/>
      <c r="B193" s="94"/>
      <c r="C193" s="9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94"/>
      <c r="B194" s="94"/>
      <c r="C194" s="9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94"/>
      <c r="B195" s="94"/>
      <c r="C195" s="9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94"/>
      <c r="B196" s="94"/>
      <c r="C196" s="9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94"/>
      <c r="B197" s="94"/>
      <c r="C197" s="9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94"/>
      <c r="B198" s="94"/>
      <c r="C198" s="9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94"/>
      <c r="B199" s="94"/>
      <c r="C199" s="9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94"/>
      <c r="B200" s="94"/>
      <c r="C200" s="9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>
      <c r="A201" s="94"/>
      <c r="B201" s="94"/>
      <c r="C201" s="9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>
      <c r="A202" s="94"/>
      <c r="B202" s="94"/>
      <c r="C202" s="9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>
      <c r="A203" s="94"/>
      <c r="B203" s="94"/>
      <c r="C203" s="9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>
      <c r="A204" s="94"/>
      <c r="B204" s="94"/>
      <c r="C204" s="9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>
      <c r="A205" s="94"/>
      <c r="B205" s="94"/>
      <c r="C205" s="9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>
      <c r="A206" s="94"/>
      <c r="B206" s="94"/>
      <c r="C206" s="9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>
      <c r="A207" s="94"/>
      <c r="B207" s="94"/>
      <c r="C207" s="9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>
      <c r="A208" s="94"/>
      <c r="B208" s="94"/>
      <c r="C208" s="9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>
      <c r="A209" s="94"/>
      <c r="B209" s="94"/>
      <c r="C209" s="9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>
      <c r="A210" s="94"/>
      <c r="B210" s="94"/>
      <c r="C210" s="9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>
      <c r="A211" s="94"/>
      <c r="B211" s="94"/>
      <c r="C211" s="9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>
      <c r="A212" s="94"/>
      <c r="B212" s="94"/>
      <c r="C212" s="9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>
      <c r="A213" s="94"/>
      <c r="B213" s="94"/>
      <c r="C213" s="9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>
      <c r="A214" s="94"/>
      <c r="B214" s="94"/>
      <c r="C214" s="9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>
      <c r="A215" s="94"/>
      <c r="B215" s="94"/>
      <c r="C215" s="9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>
      <c r="A216" s="94"/>
      <c r="B216" s="94"/>
      <c r="C216" s="9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>
      <c r="A217" s="94"/>
      <c r="B217" s="94"/>
      <c r="C217" s="9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>
      <c r="A218" s="94"/>
      <c r="B218" s="94"/>
      <c r="C218" s="9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>
      <c r="A219" s="94"/>
      <c r="B219" s="94"/>
      <c r="C219" s="9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>
      <c r="A220" s="94"/>
      <c r="B220" s="94"/>
      <c r="C220" s="9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>
      <c r="A221" s="94"/>
      <c r="B221" s="94"/>
      <c r="C221" s="9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>
      <c r="A222" s="94"/>
      <c r="B222" s="94"/>
      <c r="C222" s="9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>
      <c r="A223" s="94"/>
      <c r="B223" s="94"/>
      <c r="C223" s="9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>
      <c r="A224" s="94"/>
      <c r="B224" s="94"/>
      <c r="C224" s="9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>
      <c r="A225" s="94"/>
      <c r="B225" s="94"/>
      <c r="C225" s="9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>
      <c r="A226" s="94"/>
      <c r="B226" s="94"/>
      <c r="C226" s="9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>
      <c r="A227" s="94"/>
      <c r="B227" s="94"/>
      <c r="C227" s="9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>
      <c r="A228" s="94"/>
      <c r="B228" s="94"/>
      <c r="C228" s="9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>
      <c r="A229" s="94"/>
      <c r="B229" s="94"/>
      <c r="C229" s="9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>
      <c r="A230" s="94"/>
      <c r="B230" s="94"/>
      <c r="C230" s="9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>
      <c r="A231" s="94"/>
      <c r="B231" s="94"/>
      <c r="C231" s="9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>
      <c r="A232" s="94"/>
      <c r="B232" s="94"/>
      <c r="C232" s="9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>
      <c r="A233" s="94"/>
      <c r="B233" s="94"/>
      <c r="C233" s="9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>
      <c r="A234" s="94"/>
      <c r="B234" s="94"/>
      <c r="C234" s="9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>
      <c r="A235" s="94"/>
      <c r="B235" s="94"/>
      <c r="C235" s="9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>
      <c r="A236" s="94"/>
      <c r="B236" s="94"/>
      <c r="C236" s="9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>
      <c r="A237" s="94"/>
      <c r="B237" s="94"/>
      <c r="C237" s="9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>
      <c r="A238" s="94"/>
      <c r="B238" s="94"/>
      <c r="C238" s="9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>
      <c r="A239" s="94"/>
      <c r="B239" s="94"/>
      <c r="C239" s="9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>
      <c r="A240" s="94"/>
      <c r="B240" s="94"/>
      <c r="C240" s="9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>
      <c r="A241" s="94"/>
      <c r="B241" s="94"/>
      <c r="C241" s="9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>
      <c r="A242" s="94"/>
      <c r="B242" s="94"/>
      <c r="C242" s="9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>
      <c r="A243" s="94"/>
      <c r="B243" s="94"/>
      <c r="C243" s="9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>
      <c r="A244" s="94"/>
      <c r="B244" s="94"/>
      <c r="C244" s="9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>
      <c r="A245" s="94"/>
      <c r="B245" s="94"/>
      <c r="C245" s="9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>
      <c r="A246" s="94"/>
      <c r="B246" s="94"/>
      <c r="C246" s="9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>
      <c r="A247" s="94"/>
      <c r="B247" s="94"/>
      <c r="C247" s="9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>
      <c r="A248" s="94"/>
      <c r="B248" s="94"/>
      <c r="C248" s="9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>
      <c r="A249" s="94"/>
      <c r="B249" s="94"/>
      <c r="C249" s="9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>
      <c r="A250" s="94"/>
      <c r="B250" s="94"/>
      <c r="C250" s="9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>
      <c r="A251" s="94"/>
      <c r="B251" s="94"/>
      <c r="C251" s="9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>
      <c r="A252" s="94"/>
      <c r="B252" s="94"/>
      <c r="C252" s="9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>
      <c r="A253" s="94"/>
      <c r="B253" s="94"/>
      <c r="C253" s="9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>
      <c r="A254" s="94"/>
      <c r="B254" s="94"/>
      <c r="C254" s="9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>
      <c r="A255" s="94"/>
      <c r="B255" s="94"/>
      <c r="C255" s="9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>
      <c r="A256" s="94"/>
      <c r="B256" s="94"/>
      <c r="C256" s="9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>
      <c r="A257" s="94"/>
      <c r="B257" s="94"/>
      <c r="C257" s="9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>
      <c r="A258" s="94"/>
      <c r="B258" s="94"/>
      <c r="C258" s="9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>
      <c r="A259" s="94"/>
      <c r="B259" s="94"/>
      <c r="C259" s="9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>
      <c r="A260" s="94"/>
      <c r="B260" s="94"/>
      <c r="C260" s="9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>
      <c r="A261" s="94"/>
      <c r="B261" s="94"/>
      <c r="C261" s="9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>
      <c r="A262" s="94"/>
      <c r="B262" s="94"/>
      <c r="C262" s="9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>
      <c r="A263" s="94"/>
      <c r="B263" s="94"/>
      <c r="C263" s="9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>
      <c r="A264" s="94"/>
      <c r="B264" s="94"/>
      <c r="C264" s="9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>
      <c r="A265" s="94"/>
      <c r="B265" s="94"/>
      <c r="C265" s="9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>
      <c r="A266" s="94"/>
      <c r="B266" s="94"/>
      <c r="C266" s="9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>
      <c r="A267" s="94"/>
      <c r="B267" s="94"/>
      <c r="C267" s="9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>
      <c r="A268" s="94"/>
      <c r="B268" s="94"/>
      <c r="C268" s="9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>
      <c r="A269" s="94"/>
      <c r="B269" s="94"/>
      <c r="C269" s="9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>
      <c r="A270" s="94"/>
      <c r="B270" s="94"/>
      <c r="C270" s="9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>
      <c r="A271" s="94"/>
      <c r="B271" s="94"/>
      <c r="C271" s="9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>
      <c r="A272" s="94"/>
      <c r="B272" s="94"/>
      <c r="C272" s="9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>
      <c r="A273" s="94"/>
      <c r="B273" s="94"/>
      <c r="C273" s="9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>
      <c r="A274" s="94"/>
      <c r="B274" s="94"/>
      <c r="C274" s="9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>
      <c r="A275" s="94"/>
      <c r="B275" s="94"/>
      <c r="C275" s="9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>
      <c r="A276" s="94"/>
      <c r="B276" s="94"/>
      <c r="C276" s="9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>
      <c r="A277" s="94"/>
      <c r="B277" s="94"/>
      <c r="C277" s="9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>
      <c r="A278" s="94"/>
      <c r="B278" s="94"/>
      <c r="C278" s="9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>
      <c r="A279" s="94"/>
      <c r="B279" s="94"/>
      <c r="C279" s="9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>
      <c r="A280" s="94"/>
      <c r="B280" s="94"/>
      <c r="C280" s="9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>
      <c r="A281" s="94"/>
      <c r="B281" s="94"/>
      <c r="C281" s="9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>
      <c r="A282" s="94"/>
      <c r="B282" s="94"/>
      <c r="C282" s="9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>
      <c r="A283" s="94"/>
      <c r="B283" s="94"/>
      <c r="C283" s="9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>
      <c r="A284" s="94"/>
      <c r="B284" s="94"/>
      <c r="C284" s="9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>
      <c r="A285" s="94"/>
      <c r="B285" s="94"/>
      <c r="C285" s="9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>
      <c r="A286" s="94"/>
      <c r="B286" s="94"/>
      <c r="C286" s="9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>
      <c r="A287" s="94"/>
      <c r="B287" s="94"/>
      <c r="C287" s="9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>
      <c r="A288" s="94"/>
      <c r="B288" s="94"/>
      <c r="C288" s="9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>
      <c r="A289" s="94"/>
      <c r="B289" s="94"/>
      <c r="C289" s="9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>
      <c r="A290" s="94"/>
      <c r="B290" s="94"/>
      <c r="C290" s="9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>
      <c r="A291" s="94"/>
      <c r="B291" s="94"/>
      <c r="C291" s="9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>
      <c r="A292" s="94"/>
      <c r="B292" s="94"/>
      <c r="C292" s="9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>
      <c r="A293" s="94"/>
      <c r="B293" s="94"/>
      <c r="C293" s="9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>
      <c r="A294" s="94"/>
      <c r="B294" s="94"/>
      <c r="C294" s="9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>
      <c r="A295" s="94"/>
      <c r="B295" s="94"/>
      <c r="C295" s="9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>
      <c r="A296" s="94"/>
      <c r="B296" s="94"/>
      <c r="C296" s="9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>
      <c r="A297" s="94"/>
      <c r="B297" s="94"/>
      <c r="C297" s="9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>
      <c r="A298" s="94"/>
      <c r="B298" s="94"/>
      <c r="C298" s="9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>
      <c r="A299" s="94"/>
      <c r="B299" s="94"/>
      <c r="C299" s="9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>
      <c r="A300" s="94"/>
      <c r="B300" s="94"/>
      <c r="C300" s="9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>
      <c r="A301" s="94"/>
      <c r="B301" s="94"/>
      <c r="C301" s="9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>
      <c r="A302" s="94"/>
      <c r="B302" s="94"/>
      <c r="C302" s="9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>
      <c r="A303" s="94"/>
      <c r="B303" s="94"/>
      <c r="C303" s="9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>
      <c r="A304" s="94"/>
      <c r="B304" s="94"/>
      <c r="C304" s="9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>
      <c r="A305" s="94"/>
      <c r="B305" s="94"/>
      <c r="C305" s="9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>
      <c r="A306" s="94"/>
      <c r="B306" s="94"/>
      <c r="C306" s="9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>
      <c r="A307" s="94"/>
      <c r="B307" s="94"/>
      <c r="C307" s="9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>
      <c r="A308" s="94"/>
      <c r="B308" s="94"/>
      <c r="C308" s="9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>
      <c r="A309" s="94"/>
      <c r="B309" s="94"/>
      <c r="C309" s="9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>
      <c r="A310" s="94"/>
      <c r="B310" s="94"/>
      <c r="C310" s="9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>
      <c r="A311" s="94"/>
      <c r="B311" s="94"/>
      <c r="C311" s="9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>
      <c r="A312" s="94"/>
      <c r="B312" s="94"/>
      <c r="C312" s="9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>
      <c r="A313" s="94"/>
      <c r="B313" s="94"/>
      <c r="C313" s="9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>
      <c r="A314" s="94"/>
      <c r="B314" s="94"/>
      <c r="C314" s="9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>
      <c r="A315" s="94"/>
      <c r="B315" s="94"/>
      <c r="C315" s="9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>
      <c r="A316" s="94"/>
      <c r="B316" s="94"/>
      <c r="C316" s="9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>
      <c r="A317" s="94"/>
      <c r="B317" s="94"/>
      <c r="C317" s="9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>
      <c r="A318" s="94"/>
      <c r="B318" s="94"/>
      <c r="C318" s="9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>
      <c r="A319" s="94"/>
      <c r="B319" s="94"/>
      <c r="C319" s="9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>
      <c r="A320" s="94"/>
      <c r="B320" s="94"/>
      <c r="C320" s="9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>
      <c r="A321" s="94"/>
      <c r="B321" s="94"/>
      <c r="C321" s="9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>
      <c r="A322" s="94"/>
      <c r="B322" s="94"/>
      <c r="C322" s="9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>
      <c r="A323" s="94"/>
      <c r="B323" s="94"/>
      <c r="C323" s="9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>
      <c r="A324" s="94"/>
      <c r="B324" s="94"/>
      <c r="C324" s="9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>
      <c r="A325" s="94"/>
      <c r="B325" s="94"/>
      <c r="C325" s="9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>
      <c r="A326" s="94"/>
      <c r="B326" s="94"/>
      <c r="C326" s="9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>
      <c r="A327" s="94"/>
      <c r="B327" s="94"/>
      <c r="C327" s="9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>
      <c r="A328" s="94"/>
      <c r="B328" s="94"/>
      <c r="C328" s="9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>
      <c r="A329" s="94"/>
      <c r="B329" s="94"/>
      <c r="C329" s="9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>
      <c r="A330" s="94"/>
      <c r="B330" s="94"/>
      <c r="C330" s="9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>
      <c r="A331" s="94"/>
      <c r="B331" s="94"/>
      <c r="C331" s="9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>
      <c r="A332" s="94"/>
      <c r="B332" s="94"/>
      <c r="C332" s="9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>
      <c r="A333" s="94"/>
      <c r="B333" s="94"/>
      <c r="C333" s="9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>
      <c r="A334" s="94"/>
      <c r="B334" s="94"/>
      <c r="C334" s="9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>
      <c r="A335" s="94"/>
      <c r="B335" s="94"/>
      <c r="C335" s="9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>
      <c r="A336" s="94"/>
      <c r="B336" s="94"/>
      <c r="C336" s="9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>
      <c r="A337" s="94"/>
      <c r="B337" s="94"/>
      <c r="C337" s="9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>
      <c r="A338" s="94"/>
      <c r="B338" s="94"/>
      <c r="C338" s="9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>
      <c r="A339" s="94"/>
      <c r="B339" s="94"/>
      <c r="C339" s="9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>
      <c r="A340" s="94"/>
      <c r="B340" s="94"/>
      <c r="C340" s="9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>
      <c r="A341" s="94"/>
      <c r="B341" s="94"/>
      <c r="C341" s="9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>
      <c r="A342" s="94"/>
      <c r="B342" s="94"/>
      <c r="C342" s="9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>
      <c r="A343" s="94"/>
      <c r="B343" s="94"/>
      <c r="C343" s="9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>
      <c r="A344" s="94"/>
      <c r="B344" s="94"/>
      <c r="C344" s="9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>
      <c r="A345" s="94"/>
      <c r="B345" s="94"/>
      <c r="C345" s="9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>
      <c r="A346" s="94"/>
      <c r="B346" s="94"/>
      <c r="C346" s="9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>
      <c r="A347" s="94"/>
      <c r="B347" s="94"/>
      <c r="C347" s="9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>
      <c r="A348" s="94"/>
      <c r="B348" s="94"/>
      <c r="C348" s="9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>
      <c r="A349" s="94"/>
      <c r="B349" s="94"/>
      <c r="C349" s="9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>
      <c r="A350" s="94"/>
      <c r="B350" s="94"/>
      <c r="C350" s="9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>
      <c r="A351" s="94"/>
      <c r="B351" s="94"/>
      <c r="C351" s="9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>
      <c r="A352" s="94"/>
      <c r="B352" s="94"/>
      <c r="C352" s="9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>
      <c r="A353" s="94"/>
      <c r="B353" s="94"/>
      <c r="C353" s="9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>
      <c r="A354" s="94"/>
      <c r="B354" s="94"/>
      <c r="C354" s="9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>
      <c r="A355" s="94"/>
      <c r="B355" s="94"/>
      <c r="C355" s="9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>
      <c r="A356" s="94"/>
      <c r="B356" s="94"/>
      <c r="C356" s="9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>
      <c r="A357" s="94"/>
      <c r="B357" s="94"/>
      <c r="C357" s="9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>
      <c r="A358" s="94"/>
      <c r="B358" s="94"/>
      <c r="C358" s="9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>
      <c r="A359" s="94"/>
      <c r="B359" s="94"/>
      <c r="C359" s="9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>
      <c r="A360" s="94"/>
      <c r="B360" s="94"/>
      <c r="C360" s="9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>
      <c r="A361" s="94"/>
      <c r="B361" s="94"/>
      <c r="C361" s="9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>
      <c r="A362" s="94"/>
      <c r="B362" s="94"/>
      <c r="C362" s="9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>
      <c r="A363" s="94"/>
      <c r="B363" s="94"/>
      <c r="C363" s="9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>
      <c r="A364" s="94"/>
      <c r="B364" s="94"/>
      <c r="C364" s="9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>
      <c r="A365" s="94"/>
      <c r="B365" s="94"/>
      <c r="C365" s="9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>
      <c r="A366" s="94"/>
      <c r="B366" s="94"/>
      <c r="C366" s="9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>
      <c r="A367" s="94"/>
      <c r="B367" s="94"/>
      <c r="C367" s="9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>
      <c r="A368" s="94"/>
      <c r="B368" s="94"/>
      <c r="C368" s="9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>
      <c r="A369" s="94"/>
      <c r="B369" s="94"/>
      <c r="C369" s="9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>
      <c r="A370" s="94"/>
      <c r="B370" s="94"/>
      <c r="C370" s="9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>
      <c r="A371" s="94"/>
      <c r="B371" s="94"/>
      <c r="C371" s="9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>
      <c r="A372" s="94"/>
      <c r="B372" s="94"/>
      <c r="C372" s="9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>
      <c r="A373" s="94"/>
      <c r="B373" s="94"/>
      <c r="C373" s="9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>
      <c r="A374" s="94"/>
      <c r="B374" s="94"/>
      <c r="C374" s="9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>
      <c r="A375" s="94"/>
      <c r="B375" s="94"/>
      <c r="C375" s="9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>
      <c r="A376" s="94"/>
      <c r="B376" s="94"/>
      <c r="C376" s="9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>
      <c r="A377" s="94"/>
      <c r="B377" s="94"/>
      <c r="C377" s="9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>
      <c r="A378" s="94"/>
      <c r="B378" s="94"/>
      <c r="C378" s="9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>
      <c r="A379" s="94"/>
      <c r="B379" s="94"/>
      <c r="C379" s="9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>
      <c r="A380" s="94"/>
      <c r="B380" s="94"/>
      <c r="C380" s="9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>
      <c r="A381" s="94"/>
      <c r="B381" s="94"/>
      <c r="C381" s="9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>
      <c r="A382" s="94"/>
      <c r="B382" s="94"/>
      <c r="C382" s="9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>
      <c r="A383" s="94"/>
      <c r="B383" s="94"/>
      <c r="C383" s="9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>
      <c r="A384" s="94"/>
      <c r="B384" s="94"/>
      <c r="C384" s="9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>
      <c r="A385" s="94"/>
      <c r="B385" s="94"/>
      <c r="C385" s="9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>
      <c r="A386" s="94"/>
      <c r="B386" s="94"/>
      <c r="C386" s="9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>
      <c r="A387" s="94"/>
      <c r="B387" s="94"/>
      <c r="C387" s="9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>
      <c r="A388" s="94"/>
      <c r="B388" s="94"/>
      <c r="C388" s="9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>
      <c r="A389" s="94"/>
      <c r="B389" s="94"/>
      <c r="C389" s="9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>
      <c r="A390" s="94"/>
      <c r="B390" s="94"/>
      <c r="C390" s="9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>
      <c r="A391" s="94"/>
      <c r="B391" s="94"/>
      <c r="C391" s="9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>
      <c r="A392" s="94"/>
      <c r="B392" s="94"/>
      <c r="C392" s="9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>
      <c r="A393" s="94"/>
      <c r="B393" s="94"/>
      <c r="C393" s="9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>
      <c r="A394" s="94"/>
      <c r="B394" s="94"/>
      <c r="C394" s="9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>
      <c r="A395" s="94"/>
      <c r="B395" s="94"/>
      <c r="C395" s="9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>
      <c r="A396" s="94"/>
      <c r="B396" s="94"/>
      <c r="C396" s="9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>
      <c r="A397" s="94"/>
      <c r="B397" s="94"/>
      <c r="C397" s="9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>
      <c r="A398" s="94"/>
      <c r="B398" s="94"/>
      <c r="C398" s="9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>
      <c r="A399" s="94"/>
      <c r="B399" s="94"/>
      <c r="C399" s="9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>
      <c r="A400" s="94"/>
      <c r="B400" s="94"/>
      <c r="C400" s="9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>
      <c r="A401" s="94"/>
      <c r="B401" s="94"/>
      <c r="C401" s="9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>
      <c r="A402" s="94"/>
      <c r="B402" s="94"/>
      <c r="C402" s="9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>
      <c r="A403" s="94"/>
      <c r="B403" s="94"/>
      <c r="C403" s="9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>
      <c r="A404" s="94"/>
      <c r="B404" s="94"/>
      <c r="C404" s="9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>
      <c r="A405" s="94"/>
      <c r="B405" s="94"/>
      <c r="C405" s="9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>
      <c r="A406" s="94"/>
      <c r="B406" s="94"/>
      <c r="C406" s="9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>
      <c r="A407" s="94"/>
      <c r="B407" s="94"/>
      <c r="C407" s="9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>
      <c r="A408" s="94"/>
      <c r="B408" s="94"/>
      <c r="C408" s="9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>
      <c r="A409" s="94"/>
      <c r="B409" s="94"/>
      <c r="C409" s="9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>
      <c r="A410" s="94"/>
      <c r="B410" s="94"/>
      <c r="C410" s="9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>
      <c r="A411" s="94"/>
      <c r="B411" s="94"/>
      <c r="C411" s="9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>
      <c r="A412" s="94"/>
      <c r="B412" s="94"/>
      <c r="C412" s="9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>
      <c r="A413" s="94"/>
      <c r="B413" s="94"/>
      <c r="C413" s="9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>
      <c r="A414" s="94"/>
      <c r="B414" s="94"/>
      <c r="C414" s="9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>
      <c r="A415" s="94"/>
      <c r="B415" s="94"/>
      <c r="C415" s="9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>
      <c r="A416" s="94"/>
      <c r="B416" s="94"/>
      <c r="C416" s="9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>
      <c r="A417" s="94"/>
      <c r="B417" s="94"/>
      <c r="C417" s="9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>
      <c r="A418" s="94"/>
      <c r="B418" s="94"/>
      <c r="C418" s="9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>
      <c r="A419" s="94"/>
      <c r="B419" s="94"/>
      <c r="C419" s="9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>
      <c r="A420" s="94"/>
      <c r="B420" s="94"/>
      <c r="C420" s="9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>
      <c r="A421" s="94"/>
      <c r="B421" s="94"/>
      <c r="C421" s="9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>
      <c r="A422" s="94"/>
      <c r="B422" s="94"/>
      <c r="C422" s="9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>
      <c r="A423" s="94"/>
      <c r="B423" s="94"/>
      <c r="C423" s="9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>
      <c r="A424" s="94"/>
      <c r="B424" s="94"/>
      <c r="C424" s="9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>
      <c r="A425" s="94"/>
      <c r="B425" s="94"/>
      <c r="C425" s="9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>
      <c r="A426" s="94"/>
      <c r="B426" s="94"/>
      <c r="C426" s="9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>
      <c r="A427" s="94"/>
      <c r="B427" s="94"/>
      <c r="C427" s="9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>
      <c r="A428" s="94"/>
      <c r="B428" s="94"/>
      <c r="C428" s="9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>
      <c r="A429" s="94"/>
      <c r="B429" s="94"/>
      <c r="C429" s="9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>
      <c r="A430" s="94"/>
      <c r="B430" s="94"/>
      <c r="C430" s="9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>
      <c r="A431" s="94"/>
      <c r="B431" s="94"/>
      <c r="C431" s="9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>
      <c r="A432" s="94"/>
      <c r="B432" s="94"/>
      <c r="C432" s="9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>
      <c r="A433" s="94"/>
      <c r="B433" s="94"/>
      <c r="C433" s="9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>
      <c r="A434" s="94"/>
      <c r="B434" s="94"/>
      <c r="C434" s="9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>
      <c r="A435" s="94"/>
      <c r="B435" s="94"/>
      <c r="C435" s="9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>
      <c r="A436" s="94"/>
      <c r="B436" s="94"/>
      <c r="C436" s="9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>
      <c r="A437" s="94"/>
      <c r="B437" s="94"/>
      <c r="C437" s="9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>
      <c r="A438" s="94"/>
      <c r="B438" s="94"/>
      <c r="C438" s="9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>
      <c r="A439" s="94"/>
      <c r="B439" s="94"/>
      <c r="C439" s="9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>
      <c r="A440" s="94"/>
      <c r="B440" s="94"/>
      <c r="C440" s="9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>
      <c r="A441" s="94"/>
      <c r="B441" s="94"/>
      <c r="C441" s="9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>
      <c r="A442" s="94"/>
      <c r="B442" s="94"/>
      <c r="C442" s="9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>
      <c r="A443" s="94"/>
      <c r="B443" s="94"/>
      <c r="C443" s="9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>
      <c r="A444" s="94"/>
      <c r="B444" s="94"/>
      <c r="C444" s="9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>
      <c r="A445" s="94"/>
      <c r="B445" s="94"/>
      <c r="C445" s="9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>
      <c r="A446" s="94"/>
      <c r="B446" s="94"/>
      <c r="C446" s="9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>
      <c r="A447" s="94"/>
      <c r="B447" s="94"/>
      <c r="C447" s="9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>
      <c r="A448" s="94"/>
      <c r="B448" s="94"/>
      <c r="C448" s="9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>
      <c r="A449" s="94"/>
      <c r="B449" s="94"/>
      <c r="C449" s="9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>
      <c r="A450" s="94"/>
      <c r="B450" s="94"/>
      <c r="C450" s="9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>
      <c r="A451" s="94"/>
      <c r="B451" s="94"/>
      <c r="C451" s="9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>
      <c r="A452" s="94"/>
      <c r="B452" s="94"/>
      <c r="C452" s="9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>
      <c r="A453" s="94"/>
      <c r="B453" s="94"/>
      <c r="C453" s="9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>
      <c r="A454" s="94"/>
      <c r="B454" s="94"/>
      <c r="C454" s="9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>
      <c r="A455" s="94"/>
      <c r="B455" s="94"/>
      <c r="C455" s="9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>
      <c r="A456" s="94"/>
      <c r="B456" s="94"/>
      <c r="C456" s="9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>
      <c r="A457" s="94"/>
      <c r="B457" s="94"/>
      <c r="C457" s="9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>
      <c r="A458" s="94"/>
      <c r="B458" s="94"/>
      <c r="C458" s="9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>
      <c r="A459" s="94"/>
      <c r="B459" s="94"/>
      <c r="C459" s="9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>
      <c r="A460" s="94"/>
      <c r="B460" s="94"/>
      <c r="C460" s="9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>
      <c r="A461" s="94"/>
      <c r="B461" s="94"/>
      <c r="C461" s="9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>
      <c r="A462" s="94"/>
      <c r="B462" s="94"/>
      <c r="C462" s="9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>
      <c r="A463" s="94"/>
      <c r="B463" s="94"/>
      <c r="C463" s="9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>
      <c r="A464" s="94"/>
      <c r="B464" s="94"/>
      <c r="C464" s="9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>
      <c r="A465" s="94"/>
      <c r="B465" s="94"/>
      <c r="C465" s="9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>
      <c r="A466" s="94"/>
      <c r="B466" s="94"/>
      <c r="C466" s="9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>
      <c r="A467" s="94"/>
      <c r="B467" s="94"/>
      <c r="C467" s="9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>
      <c r="A468" s="94"/>
      <c r="B468" s="94"/>
      <c r="C468" s="9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>
      <c r="A469" s="94"/>
      <c r="B469" s="94"/>
      <c r="C469" s="9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>
      <c r="A470" s="94"/>
      <c r="B470" s="94"/>
      <c r="C470" s="9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>
      <c r="A471" s="94"/>
      <c r="B471" s="94"/>
      <c r="C471" s="9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>
      <c r="A472" s="94"/>
      <c r="B472" s="94"/>
      <c r="C472" s="9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>
      <c r="A473" s="94"/>
      <c r="B473" s="94"/>
      <c r="C473" s="9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>
      <c r="A474" s="94"/>
      <c r="B474" s="94"/>
      <c r="C474" s="9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>
      <c r="A475" s="94"/>
      <c r="B475" s="94"/>
      <c r="C475" s="9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>
      <c r="A476" s="94"/>
      <c r="B476" s="94"/>
      <c r="C476" s="9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>
      <c r="A477" s="94"/>
      <c r="B477" s="94"/>
      <c r="C477" s="9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>
      <c r="A478" s="94"/>
      <c r="B478" s="94"/>
      <c r="C478" s="9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>
      <c r="A479" s="94"/>
      <c r="B479" s="94"/>
      <c r="C479" s="9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>
      <c r="A480" s="94"/>
      <c r="B480" s="94"/>
      <c r="C480" s="9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>
      <c r="A481" s="94"/>
      <c r="B481" s="94"/>
      <c r="C481" s="9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>
      <c r="A482" s="94"/>
      <c r="B482" s="94"/>
      <c r="C482" s="9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>
      <c r="A483" s="94"/>
      <c r="B483" s="94"/>
      <c r="C483" s="9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>
      <c r="A484" s="94"/>
      <c r="B484" s="94"/>
      <c r="C484" s="9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>
      <c r="A485" s="94"/>
      <c r="B485" s="94"/>
      <c r="C485" s="9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>
      <c r="A486" s="94"/>
      <c r="B486" s="94"/>
      <c r="C486" s="9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>
      <c r="A487" s="94"/>
      <c r="B487" s="94"/>
      <c r="C487" s="9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>
      <c r="A488" s="94"/>
      <c r="B488" s="94"/>
      <c r="C488" s="9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>
      <c r="A489" s="94"/>
      <c r="B489" s="94"/>
      <c r="C489" s="9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>
      <c r="A490" s="94"/>
      <c r="B490" s="94"/>
      <c r="C490" s="9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>
      <c r="A491" s="94"/>
      <c r="B491" s="94"/>
      <c r="C491" s="9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>
      <c r="A492" s="94"/>
      <c r="B492" s="94"/>
      <c r="C492" s="9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>
      <c r="A493" s="94"/>
      <c r="B493" s="94"/>
      <c r="C493" s="9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>
      <c r="A494" s="94"/>
      <c r="B494" s="94"/>
      <c r="C494" s="9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>
      <c r="A495" s="94"/>
      <c r="B495" s="94"/>
      <c r="C495" s="9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>
      <c r="A496" s="94"/>
      <c r="B496" s="94"/>
      <c r="C496" s="9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>
      <c r="A497" s="94"/>
      <c r="B497" s="94"/>
      <c r="C497" s="9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>
      <c r="A498" s="94"/>
      <c r="B498" s="94"/>
      <c r="C498" s="9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>
      <c r="A499" s="94"/>
      <c r="B499" s="94"/>
      <c r="C499" s="9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>
      <c r="A500" s="94"/>
      <c r="B500" s="94"/>
      <c r="C500" s="9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>
      <c r="A501" s="94"/>
      <c r="B501" s="94"/>
      <c r="C501" s="9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>
      <c r="A502" s="94"/>
      <c r="B502" s="94"/>
      <c r="C502" s="9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>
      <c r="A503" s="94"/>
      <c r="B503" s="94"/>
      <c r="C503" s="9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>
      <c r="A504" s="94"/>
      <c r="B504" s="94"/>
      <c r="C504" s="9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>
      <c r="A505" s="94"/>
      <c r="B505" s="94"/>
      <c r="C505" s="9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>
      <c r="A506" s="94"/>
      <c r="B506" s="94"/>
      <c r="C506" s="9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>
      <c r="A507" s="94"/>
      <c r="B507" s="94"/>
      <c r="C507" s="9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>
      <c r="A508" s="94"/>
      <c r="B508" s="94"/>
      <c r="C508" s="9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>
      <c r="A509" s="94"/>
      <c r="B509" s="94"/>
      <c r="C509" s="9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>
      <c r="A510" s="94"/>
      <c r="B510" s="94"/>
      <c r="C510" s="9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>
      <c r="A511" s="94"/>
      <c r="B511" s="94"/>
      <c r="C511" s="9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>
      <c r="A512" s="94"/>
      <c r="B512" s="94"/>
      <c r="C512" s="9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>
      <c r="A513" s="94"/>
      <c r="B513" s="94"/>
      <c r="C513" s="9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>
      <c r="A514" s="94"/>
      <c r="B514" s="94"/>
      <c r="C514" s="9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>
      <c r="A515" s="94"/>
      <c r="B515" s="94"/>
      <c r="C515" s="9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>
      <c r="A516" s="94"/>
      <c r="B516" s="94"/>
      <c r="C516" s="9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>
      <c r="A517" s="94"/>
      <c r="B517" s="94"/>
      <c r="C517" s="9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>
      <c r="A518" s="94"/>
      <c r="B518" s="94"/>
      <c r="C518" s="9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>
      <c r="A519" s="94"/>
      <c r="B519" s="94"/>
      <c r="C519" s="9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>
      <c r="A520" s="94"/>
      <c r="B520" s="94"/>
      <c r="C520" s="9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>
      <c r="A521" s="94"/>
      <c r="B521" s="94"/>
      <c r="C521" s="9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>
      <c r="A522" s="94"/>
      <c r="B522" s="94"/>
      <c r="C522" s="9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>
      <c r="A523" s="94"/>
      <c r="B523" s="94"/>
      <c r="C523" s="9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>
      <c r="A524" s="94"/>
      <c r="B524" s="94"/>
      <c r="C524" s="9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>
      <c r="A525" s="94"/>
      <c r="B525" s="94"/>
      <c r="C525" s="9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>
      <c r="A526" s="94"/>
      <c r="B526" s="94"/>
      <c r="C526" s="9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>
      <c r="A527" s="94"/>
      <c r="B527" s="94"/>
      <c r="C527" s="9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>
      <c r="A528" s="94"/>
      <c r="B528" s="94"/>
      <c r="C528" s="9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>
      <c r="A529" s="94"/>
      <c r="B529" s="94"/>
      <c r="C529" s="9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>
      <c r="A530" s="94"/>
      <c r="B530" s="94"/>
      <c r="C530" s="9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>
      <c r="A531" s="94"/>
      <c r="B531" s="94"/>
      <c r="C531" s="9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>
      <c r="A532" s="94"/>
      <c r="B532" s="94"/>
      <c r="C532" s="9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>
      <c r="A533" s="94"/>
      <c r="B533" s="94"/>
      <c r="C533" s="9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>
      <c r="A534" s="94"/>
      <c r="B534" s="94"/>
      <c r="C534" s="9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>
      <c r="A535" s="94"/>
      <c r="B535" s="94"/>
      <c r="C535" s="9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>
      <c r="A536" s="94"/>
      <c r="B536" s="94"/>
      <c r="C536" s="9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>
      <c r="A537" s="94"/>
      <c r="B537" s="94"/>
      <c r="C537" s="9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>
      <c r="A538" s="94"/>
      <c r="B538" s="94"/>
      <c r="C538" s="9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>
      <c r="A539" s="94"/>
      <c r="B539" s="94"/>
      <c r="C539" s="9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>
      <c r="A540" s="94"/>
      <c r="B540" s="94"/>
      <c r="C540" s="9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>
      <c r="A541" s="94"/>
      <c r="B541" s="94"/>
      <c r="C541" s="9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>
      <c r="A542" s="94"/>
      <c r="B542" s="94"/>
      <c r="C542" s="9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>
      <c r="A543" s="94"/>
      <c r="B543" s="94"/>
      <c r="C543" s="9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>
      <c r="A544" s="94"/>
      <c r="B544" s="94"/>
      <c r="C544" s="9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>
      <c r="A545" s="94"/>
      <c r="B545" s="94"/>
      <c r="C545" s="9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>
      <c r="A546" s="94"/>
      <c r="B546" s="94"/>
      <c r="C546" s="9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>
      <c r="A547" s="94"/>
      <c r="B547" s="94"/>
      <c r="C547" s="9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>
      <c r="A548" s="94"/>
      <c r="B548" s="94"/>
      <c r="C548" s="9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>
      <c r="A549" s="94"/>
      <c r="B549" s="94"/>
      <c r="C549" s="9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>
      <c r="A550" s="94"/>
      <c r="B550" s="94"/>
      <c r="C550" s="9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>
      <c r="A551" s="94"/>
      <c r="B551" s="94"/>
      <c r="C551" s="9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>
      <c r="A552" s="94"/>
      <c r="B552" s="94"/>
      <c r="C552" s="9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>
      <c r="A553" s="94"/>
      <c r="B553" s="94"/>
      <c r="C553" s="9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>
      <c r="A554" s="94"/>
      <c r="B554" s="94"/>
      <c r="C554" s="9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>
      <c r="A555" s="94"/>
      <c r="B555" s="94"/>
      <c r="C555" s="9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>
      <c r="A556" s="94"/>
      <c r="B556" s="94"/>
      <c r="C556" s="9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>
      <c r="A557" s="94"/>
      <c r="B557" s="94"/>
      <c r="C557" s="9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>
      <c r="A558" s="94"/>
      <c r="B558" s="94"/>
      <c r="C558" s="9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>
      <c r="A559" s="94"/>
      <c r="B559" s="94"/>
      <c r="C559" s="9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>
      <c r="A560" s="94"/>
      <c r="B560" s="94"/>
      <c r="C560" s="9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>
      <c r="A561" s="94"/>
      <c r="B561" s="94"/>
      <c r="C561" s="9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>
      <c r="A562" s="94"/>
      <c r="B562" s="94"/>
      <c r="C562" s="9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>
      <c r="A563" s="94"/>
      <c r="B563" s="94"/>
      <c r="C563" s="9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>
      <c r="A564" s="94"/>
      <c r="B564" s="94"/>
      <c r="C564" s="9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>
      <c r="A565" s="94"/>
      <c r="B565" s="94"/>
      <c r="C565" s="9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>
      <c r="A566" s="94"/>
      <c r="B566" s="94"/>
      <c r="C566" s="9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>
      <c r="A567" s="94"/>
      <c r="B567" s="94"/>
      <c r="C567" s="9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>
      <c r="A568" s="94"/>
      <c r="B568" s="94"/>
      <c r="C568" s="9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>
      <c r="A569" s="94"/>
      <c r="B569" s="94"/>
      <c r="C569" s="9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>
      <c r="A570" s="94"/>
      <c r="B570" s="94"/>
      <c r="C570" s="9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>
      <c r="A571" s="94"/>
      <c r="B571" s="94"/>
      <c r="C571" s="9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>
      <c r="A572" s="94"/>
      <c r="B572" s="94"/>
      <c r="C572" s="9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>
      <c r="A573" s="94"/>
      <c r="B573" s="94"/>
      <c r="C573" s="9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>
      <c r="A574" s="94"/>
      <c r="B574" s="94"/>
      <c r="C574" s="9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>
      <c r="A575" s="94"/>
      <c r="B575" s="94"/>
      <c r="C575" s="9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>
      <c r="A576" s="94"/>
      <c r="B576" s="94"/>
      <c r="C576" s="9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>
      <c r="A577" s="94"/>
      <c r="B577" s="94"/>
      <c r="C577" s="9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>
      <c r="A578" s="94"/>
      <c r="B578" s="94"/>
      <c r="C578" s="9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>
      <c r="A579" s="94"/>
      <c r="B579" s="94"/>
      <c r="C579" s="9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>
      <c r="A580" s="94"/>
      <c r="B580" s="94"/>
      <c r="C580" s="9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>
      <c r="A581" s="94"/>
      <c r="B581" s="94"/>
      <c r="C581" s="9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>
      <c r="A582" s="94"/>
      <c r="B582" s="94"/>
      <c r="C582" s="9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>
      <c r="A583" s="94"/>
      <c r="B583" s="94"/>
      <c r="C583" s="9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>
      <c r="A584" s="94"/>
      <c r="B584" s="94"/>
      <c r="C584" s="9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>
      <c r="A585" s="94"/>
      <c r="B585" s="94"/>
      <c r="C585" s="9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>
      <c r="A586" s="94"/>
      <c r="B586" s="94"/>
      <c r="C586" s="9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>
      <c r="A587" s="94"/>
      <c r="B587" s="94"/>
      <c r="C587" s="9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>
      <c r="A588" s="94"/>
      <c r="B588" s="94"/>
      <c r="C588" s="9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>
      <c r="A589" s="94"/>
      <c r="B589" s="94"/>
      <c r="C589" s="9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>
      <c r="A590" s="94"/>
      <c r="B590" s="94"/>
      <c r="C590" s="9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>
      <c r="A591" s="94"/>
      <c r="B591" s="94"/>
      <c r="C591" s="9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>
      <c r="A592" s="94"/>
      <c r="B592" s="94"/>
      <c r="C592" s="9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>
      <c r="A593" s="94"/>
      <c r="B593" s="94"/>
      <c r="C593" s="9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>
      <c r="A594" s="94"/>
      <c r="B594" s="94"/>
      <c r="C594" s="9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>
      <c r="A595" s="94"/>
      <c r="B595" s="94"/>
      <c r="C595" s="9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>
      <c r="A596" s="94"/>
      <c r="B596" s="94"/>
      <c r="C596" s="9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>
      <c r="A597" s="94"/>
      <c r="B597" s="94"/>
      <c r="C597" s="9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>
      <c r="A598" s="94"/>
      <c r="B598" s="94"/>
      <c r="C598" s="9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>
      <c r="A599" s="94"/>
      <c r="B599" s="94"/>
      <c r="C599" s="9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>
      <c r="A600" s="94"/>
      <c r="B600" s="94"/>
      <c r="C600" s="9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>
      <c r="A601" s="94"/>
      <c r="B601" s="94"/>
      <c r="C601" s="9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>
      <c r="A602" s="94"/>
      <c r="B602" s="94"/>
      <c r="C602" s="9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>
      <c r="A603" s="94"/>
      <c r="B603" s="94"/>
      <c r="C603" s="9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>
      <c r="A604" s="94"/>
      <c r="B604" s="94"/>
      <c r="C604" s="9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>
      <c r="A605" s="94"/>
      <c r="B605" s="94"/>
      <c r="C605" s="9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>
      <c r="A606" s="94"/>
      <c r="B606" s="94"/>
      <c r="C606" s="9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>
      <c r="A607" s="94"/>
      <c r="B607" s="94"/>
      <c r="C607" s="9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>
      <c r="A608" s="94"/>
      <c r="B608" s="94"/>
      <c r="C608" s="9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>
      <c r="A609" s="94"/>
      <c r="B609" s="94"/>
      <c r="C609" s="9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>
      <c r="A610" s="94"/>
      <c r="B610" s="94"/>
      <c r="C610" s="9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>
      <c r="A611" s="94"/>
      <c r="B611" s="94"/>
      <c r="C611" s="9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>
      <c r="A612" s="94"/>
      <c r="B612" s="94"/>
      <c r="C612" s="9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>
      <c r="A613" s="94"/>
      <c r="B613" s="94"/>
      <c r="C613" s="9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>
      <c r="A614" s="94"/>
      <c r="B614" s="94"/>
      <c r="C614" s="9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>
      <c r="A615" s="94"/>
      <c r="B615" s="94"/>
      <c r="C615" s="9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>
      <c r="A616" s="94"/>
      <c r="B616" s="94"/>
      <c r="C616" s="9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>
      <c r="A617" s="94"/>
      <c r="B617" s="94"/>
      <c r="C617" s="9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>
      <c r="A618" s="94"/>
      <c r="B618" s="94"/>
      <c r="C618" s="9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>
      <c r="A619" s="94"/>
      <c r="B619" s="94"/>
      <c r="C619" s="9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>
      <c r="A620" s="94"/>
      <c r="B620" s="94"/>
      <c r="C620" s="9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>
      <c r="A621" s="94"/>
      <c r="B621" s="94"/>
      <c r="C621" s="9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>
      <c r="A622" s="94"/>
      <c r="B622" s="94"/>
      <c r="C622" s="9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>
      <c r="A623" s="94"/>
      <c r="B623" s="94"/>
      <c r="C623" s="9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>
      <c r="A624" s="94"/>
      <c r="B624" s="94"/>
      <c r="C624" s="9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>
      <c r="A625" s="94"/>
      <c r="B625" s="94"/>
      <c r="C625" s="9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>
      <c r="A626" s="94"/>
      <c r="B626" s="94"/>
      <c r="C626" s="9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>
      <c r="A627" s="94"/>
      <c r="B627" s="94"/>
      <c r="C627" s="9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>
      <c r="A628" s="94"/>
      <c r="B628" s="94"/>
      <c r="C628" s="9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>
      <c r="A629" s="94"/>
      <c r="B629" s="94"/>
      <c r="C629" s="9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>
      <c r="A630" s="94"/>
      <c r="B630" s="94"/>
      <c r="C630" s="9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>
      <c r="A631" s="94"/>
      <c r="B631" s="94"/>
      <c r="C631" s="9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>
      <c r="A632" s="94"/>
      <c r="B632" s="94"/>
      <c r="C632" s="9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>
      <c r="A633" s="94"/>
      <c r="B633" s="94"/>
      <c r="C633" s="9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>
      <c r="A634" s="94"/>
      <c r="B634" s="94"/>
      <c r="C634" s="9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>
      <c r="A635" s="94"/>
      <c r="B635" s="94"/>
      <c r="C635" s="9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>
      <c r="A636" s="94"/>
      <c r="B636" s="94"/>
      <c r="C636" s="9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>
      <c r="A637" s="94"/>
      <c r="B637" s="94"/>
      <c r="C637" s="9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>
      <c r="A638" s="94"/>
      <c r="B638" s="94"/>
      <c r="C638" s="9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>
      <c r="A639" s="94"/>
      <c r="B639" s="94"/>
      <c r="C639" s="9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>
      <c r="A640" s="94"/>
      <c r="B640" s="94"/>
      <c r="C640" s="9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>
      <c r="A641" s="94"/>
      <c r="B641" s="94"/>
      <c r="C641" s="9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>
      <c r="A642" s="94"/>
      <c r="B642" s="94"/>
      <c r="C642" s="9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>
      <c r="A643" s="94"/>
      <c r="B643" s="94"/>
      <c r="C643" s="9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>
      <c r="A644" s="94"/>
      <c r="B644" s="94"/>
      <c r="C644" s="9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>
      <c r="A645" s="94"/>
      <c r="B645" s="94"/>
      <c r="C645" s="9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>
      <c r="A646" s="94"/>
      <c r="B646" s="94"/>
      <c r="C646" s="9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>
      <c r="A647" s="94"/>
      <c r="B647" s="94"/>
      <c r="C647" s="9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>
      <c r="A648" s="94"/>
      <c r="B648" s="94"/>
      <c r="C648" s="9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>
      <c r="A649" s="94"/>
      <c r="B649" s="94"/>
      <c r="C649" s="9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>
      <c r="A650" s="94"/>
      <c r="B650" s="94"/>
      <c r="C650" s="9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>
      <c r="A651" s="94"/>
      <c r="B651" s="94"/>
      <c r="C651" s="9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>
      <c r="A652" s="94"/>
      <c r="B652" s="94"/>
      <c r="C652" s="9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>
      <c r="A653" s="94"/>
      <c r="B653" s="94"/>
      <c r="C653" s="9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>
      <c r="A654" s="94"/>
      <c r="B654" s="94"/>
      <c r="C654" s="9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>
      <c r="A655" s="94"/>
      <c r="B655" s="94"/>
      <c r="C655" s="9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>
      <c r="A656" s="94"/>
      <c r="B656" s="94"/>
      <c r="C656" s="9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>
      <c r="A657" s="94"/>
      <c r="B657" s="94"/>
      <c r="C657" s="9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>
      <c r="A658" s="94"/>
      <c r="B658" s="94"/>
      <c r="C658" s="9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>
      <c r="A659" s="94"/>
      <c r="B659" s="94"/>
      <c r="C659" s="9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>
      <c r="A660" s="94"/>
      <c r="B660" s="94"/>
      <c r="C660" s="9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>
      <c r="A661" s="94"/>
      <c r="B661" s="94"/>
      <c r="C661" s="9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>
      <c r="A662" s="94"/>
      <c r="B662" s="94"/>
      <c r="C662" s="9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>
      <c r="A663" s="94"/>
      <c r="B663" s="94"/>
      <c r="C663" s="9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>
      <c r="A664" s="94"/>
      <c r="B664" s="94"/>
      <c r="C664" s="9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>
      <c r="A665" s="94"/>
      <c r="B665" s="94"/>
      <c r="C665" s="9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>
      <c r="A666" s="94"/>
      <c r="B666" s="94"/>
      <c r="C666" s="9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>
      <c r="A667" s="94"/>
      <c r="B667" s="94"/>
      <c r="C667" s="9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>
      <c r="A668" s="94"/>
      <c r="B668" s="94"/>
      <c r="C668" s="9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>
      <c r="A669" s="94"/>
      <c r="B669" s="94"/>
      <c r="C669" s="9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>
      <c r="A670" s="94"/>
      <c r="B670" s="94"/>
      <c r="C670" s="9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>
      <c r="A671" s="94"/>
      <c r="B671" s="94"/>
      <c r="C671" s="9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>
      <c r="A672" s="94"/>
      <c r="B672" s="94"/>
      <c r="C672" s="9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>
      <c r="A673" s="94"/>
      <c r="B673" s="94"/>
      <c r="C673" s="9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>
      <c r="A674" s="94"/>
      <c r="B674" s="94"/>
      <c r="C674" s="9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>
      <c r="A675" s="94"/>
      <c r="B675" s="94"/>
      <c r="C675" s="9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>
      <c r="A676" s="94"/>
      <c r="B676" s="94"/>
      <c r="C676" s="9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>
      <c r="A677" s="94"/>
      <c r="B677" s="94"/>
      <c r="C677" s="9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>
      <c r="A678" s="94"/>
      <c r="B678" s="94"/>
      <c r="C678" s="9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>
      <c r="A679" s="94"/>
      <c r="B679" s="94"/>
      <c r="C679" s="9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>
      <c r="A680" s="94"/>
      <c r="B680" s="94"/>
      <c r="C680" s="9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>
      <c r="A681" s="94"/>
      <c r="B681" s="94"/>
      <c r="C681" s="9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>
      <c r="A682" s="94"/>
      <c r="B682" s="94"/>
      <c r="C682" s="9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>
      <c r="A683" s="94"/>
      <c r="B683" s="94"/>
      <c r="C683" s="9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>
      <c r="A684" s="94"/>
      <c r="B684" s="94"/>
      <c r="C684" s="9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>
      <c r="A685" s="94"/>
      <c r="B685" s="94"/>
      <c r="C685" s="9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>
      <c r="A686" s="94"/>
      <c r="B686" s="94"/>
      <c r="C686" s="9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>
      <c r="A687" s="94"/>
      <c r="B687" s="94"/>
      <c r="C687" s="9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>
      <c r="A688" s="94"/>
      <c r="B688" s="94"/>
      <c r="C688" s="9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>
      <c r="A689" s="94"/>
      <c r="B689" s="94"/>
      <c r="C689" s="9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>
      <c r="A690" s="94"/>
      <c r="B690" s="94"/>
      <c r="C690" s="9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>
      <c r="A691" s="94"/>
      <c r="B691" s="94"/>
      <c r="C691" s="9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>
      <c r="A692" s="94"/>
      <c r="B692" s="94"/>
      <c r="C692" s="9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>
      <c r="A693" s="94"/>
      <c r="B693" s="94"/>
      <c r="C693" s="9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>
      <c r="A694" s="94"/>
      <c r="B694" s="94"/>
      <c r="C694" s="9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>
      <c r="A695" s="94"/>
      <c r="B695" s="94"/>
      <c r="C695" s="9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>
      <c r="A696" s="94"/>
      <c r="B696" s="94"/>
      <c r="C696" s="9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>
      <c r="A697" s="94"/>
      <c r="B697" s="94"/>
      <c r="C697" s="9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>
      <c r="A698" s="94"/>
      <c r="B698" s="94"/>
      <c r="C698" s="9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>
      <c r="A699" s="94"/>
      <c r="B699" s="94"/>
      <c r="C699" s="9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>
      <c r="A700" s="94"/>
      <c r="B700" s="94"/>
      <c r="C700" s="9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>
      <c r="A701" s="94"/>
      <c r="B701" s="94"/>
      <c r="C701" s="9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>
      <c r="A702" s="94"/>
      <c r="B702" s="94"/>
      <c r="C702" s="9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>
      <c r="A703" s="94"/>
      <c r="B703" s="94"/>
      <c r="C703" s="9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>
      <c r="A704" s="94"/>
      <c r="B704" s="94"/>
      <c r="C704" s="9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>
      <c r="A705" s="94"/>
      <c r="B705" s="94"/>
      <c r="C705" s="9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>
      <c r="A706" s="94"/>
      <c r="B706" s="94"/>
      <c r="C706" s="9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>
      <c r="A707" s="94"/>
      <c r="B707" s="94"/>
      <c r="C707" s="9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>
      <c r="A708" s="94"/>
      <c r="B708" s="94"/>
      <c r="C708" s="9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>
      <c r="A709" s="94"/>
      <c r="B709" s="94"/>
      <c r="C709" s="9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>
      <c r="A710" s="94"/>
      <c r="B710" s="94"/>
      <c r="C710" s="9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>
      <c r="A711" s="94"/>
      <c r="B711" s="94"/>
      <c r="C711" s="9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>
      <c r="A712" s="94"/>
      <c r="B712" s="94"/>
      <c r="C712" s="9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>
      <c r="A713" s="94"/>
      <c r="B713" s="94"/>
      <c r="C713" s="9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>
      <c r="A714" s="94"/>
      <c r="B714" s="94"/>
      <c r="C714" s="9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>
      <c r="A715" s="94"/>
      <c r="B715" s="94"/>
      <c r="C715" s="9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>
      <c r="A716" s="94"/>
      <c r="B716" s="94"/>
      <c r="C716" s="9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>
      <c r="A717" s="94"/>
      <c r="B717" s="94"/>
      <c r="C717" s="9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>
      <c r="A718" s="94"/>
      <c r="B718" s="94"/>
      <c r="C718" s="9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>
      <c r="A719" s="94"/>
      <c r="B719" s="94"/>
      <c r="C719" s="9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>
      <c r="A720" s="94"/>
      <c r="B720" s="94"/>
      <c r="C720" s="9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>
      <c r="A721" s="94"/>
      <c r="B721" s="94"/>
      <c r="C721" s="9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>
      <c r="A722" s="94"/>
      <c r="B722" s="94"/>
      <c r="C722" s="9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>
      <c r="A723" s="94"/>
      <c r="B723" s="94"/>
      <c r="C723" s="9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>
      <c r="A724" s="94"/>
      <c r="B724" s="94"/>
      <c r="C724" s="9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>
      <c r="A725" s="94"/>
      <c r="B725" s="94"/>
      <c r="C725" s="9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>
      <c r="A726" s="94"/>
      <c r="B726" s="94"/>
      <c r="C726" s="9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>
      <c r="A727" s="94"/>
      <c r="B727" s="94"/>
      <c r="C727" s="9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>
      <c r="A728" s="94"/>
      <c r="B728" s="94"/>
      <c r="C728" s="9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>
      <c r="A729" s="94"/>
      <c r="B729" s="94"/>
      <c r="C729" s="9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>
      <c r="A730" s="94"/>
      <c r="B730" s="94"/>
      <c r="C730" s="9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>
      <c r="A731" s="94"/>
      <c r="B731" s="94"/>
      <c r="C731" s="9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>
      <c r="A732" s="94"/>
      <c r="B732" s="94"/>
      <c r="C732" s="9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>
      <c r="A733" s="94"/>
      <c r="B733" s="94"/>
      <c r="C733" s="9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>
      <c r="A734" s="94"/>
      <c r="B734" s="94"/>
      <c r="C734" s="9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>
      <c r="A735" s="94"/>
      <c r="B735" s="94"/>
      <c r="C735" s="9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>
      <c r="A736" s="94"/>
      <c r="B736" s="94"/>
      <c r="C736" s="9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>
      <c r="A737" s="94"/>
      <c r="B737" s="94"/>
      <c r="C737" s="9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>
      <c r="A738" s="94"/>
      <c r="B738" s="94"/>
      <c r="C738" s="9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>
      <c r="A739" s="94"/>
      <c r="B739" s="94"/>
      <c r="C739" s="9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>
      <c r="A740" s="94"/>
      <c r="B740" s="94"/>
      <c r="C740" s="9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>
      <c r="A741" s="94"/>
      <c r="B741" s="94"/>
      <c r="C741" s="9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>
      <c r="A742" s="94"/>
      <c r="B742" s="94"/>
      <c r="C742" s="9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>
      <c r="A743" s="94"/>
      <c r="B743" s="94"/>
      <c r="C743" s="9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>
      <c r="A744" s="94"/>
      <c r="B744" s="94"/>
      <c r="C744" s="9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>
      <c r="A745" s="94"/>
      <c r="B745" s="94"/>
      <c r="C745" s="9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>
      <c r="A746" s="94"/>
      <c r="B746" s="94"/>
      <c r="C746" s="9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>
      <c r="A747" s="94"/>
      <c r="B747" s="94"/>
      <c r="C747" s="9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>
      <c r="A748" s="94"/>
      <c r="B748" s="94"/>
      <c r="C748" s="9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>
      <c r="A749" s="94"/>
      <c r="B749" s="94"/>
      <c r="C749" s="9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>
      <c r="A750" s="94"/>
      <c r="B750" s="94"/>
      <c r="C750" s="9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>
      <c r="A751" s="94"/>
      <c r="B751" s="94"/>
      <c r="C751" s="9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>
      <c r="A752" s="94"/>
      <c r="B752" s="94"/>
      <c r="C752" s="9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>
      <c r="A753" s="94"/>
      <c r="B753" s="94"/>
      <c r="C753" s="9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>
      <c r="A754" s="94"/>
      <c r="B754" s="94"/>
      <c r="C754" s="9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>
      <c r="A755" s="94"/>
      <c r="B755" s="94"/>
      <c r="C755" s="9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>
      <c r="A756" s="94"/>
      <c r="B756" s="94"/>
      <c r="C756" s="9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>
      <c r="A757" s="94"/>
      <c r="B757" s="94"/>
      <c r="C757" s="9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>
      <c r="A758" s="94"/>
      <c r="B758" s="94"/>
      <c r="C758" s="9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>
      <c r="A759" s="94"/>
      <c r="B759" s="94"/>
      <c r="C759" s="9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>
      <c r="A760" s="94"/>
      <c r="B760" s="94"/>
      <c r="C760" s="9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>
      <c r="A761" s="94"/>
      <c r="B761" s="94"/>
      <c r="C761" s="9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>
      <c r="A762" s="94"/>
      <c r="B762" s="94"/>
      <c r="C762" s="9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>
      <c r="A763" s="94"/>
      <c r="B763" s="94"/>
      <c r="C763" s="9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>
      <c r="A764" s="94"/>
      <c r="B764" s="94"/>
      <c r="C764" s="9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>
      <c r="A765" s="94"/>
      <c r="B765" s="94"/>
      <c r="C765" s="9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>
      <c r="A766" s="94"/>
      <c r="B766" s="94"/>
      <c r="C766" s="9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>
      <c r="A767" s="94"/>
      <c r="B767" s="94"/>
      <c r="C767" s="9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>
      <c r="A768" s="94"/>
      <c r="B768" s="94"/>
      <c r="C768" s="9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>
      <c r="A769" s="94"/>
      <c r="B769" s="94"/>
      <c r="C769" s="9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>
      <c r="A770" s="94"/>
      <c r="B770" s="94"/>
      <c r="C770" s="9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>
      <c r="A771" s="94"/>
      <c r="B771" s="94"/>
      <c r="C771" s="9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>
      <c r="A772" s="94"/>
      <c r="B772" s="94"/>
      <c r="C772" s="9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>
      <c r="A773" s="94"/>
      <c r="B773" s="94"/>
      <c r="C773" s="9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>
      <c r="A774" s="94"/>
      <c r="B774" s="94"/>
      <c r="C774" s="9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>
      <c r="A775" s="94"/>
      <c r="B775" s="94"/>
      <c r="C775" s="9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>
      <c r="A776" s="94"/>
      <c r="B776" s="94"/>
      <c r="C776" s="9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>
      <c r="A777" s="94"/>
      <c r="B777" s="94"/>
      <c r="C777" s="9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>
      <c r="A778" s="94"/>
      <c r="B778" s="94"/>
      <c r="C778" s="9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>
      <c r="A779" s="94"/>
      <c r="B779" s="94"/>
      <c r="C779" s="9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>
      <c r="A780" s="94"/>
      <c r="B780" s="94"/>
      <c r="C780" s="9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>
      <c r="A781" s="94"/>
      <c r="B781" s="94"/>
      <c r="C781" s="9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>
      <c r="A782" s="94"/>
      <c r="B782" s="94"/>
      <c r="C782" s="9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>
      <c r="A783" s="94"/>
      <c r="B783" s="94"/>
      <c r="C783" s="9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>
      <c r="A784" s="94"/>
      <c r="B784" s="94"/>
      <c r="C784" s="9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>
      <c r="A785" s="94"/>
      <c r="B785" s="94"/>
      <c r="C785" s="9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>
      <c r="A786" s="94"/>
      <c r="B786" s="94"/>
      <c r="C786" s="9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>
      <c r="A787" s="94"/>
      <c r="B787" s="94"/>
      <c r="C787" s="9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>
      <c r="A788" s="94"/>
      <c r="B788" s="94"/>
      <c r="C788" s="9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>
      <c r="A789" s="94"/>
      <c r="B789" s="94"/>
      <c r="C789" s="9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>
      <c r="A790" s="94"/>
      <c r="B790" s="94"/>
      <c r="C790" s="9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>
      <c r="A791" s="94"/>
      <c r="B791" s="94"/>
      <c r="C791" s="9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>
      <c r="A792" s="94"/>
      <c r="B792" s="94"/>
      <c r="C792" s="9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>
      <c r="A793" s="94"/>
      <c r="B793" s="94"/>
      <c r="C793" s="9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>
      <c r="A794" s="94"/>
      <c r="B794" s="94"/>
      <c r="C794" s="9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>
      <c r="A795" s="94"/>
      <c r="B795" s="94"/>
      <c r="C795" s="9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>
      <c r="A796" s="94"/>
      <c r="B796" s="94"/>
      <c r="C796" s="9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>
      <c r="A797" s="94"/>
      <c r="B797" s="94"/>
      <c r="C797" s="9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>
      <c r="A798" s="94"/>
      <c r="B798" s="94"/>
      <c r="C798" s="9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>
      <c r="A799" s="94"/>
      <c r="B799" s="94"/>
      <c r="C799" s="9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>
      <c r="A800" s="94"/>
      <c r="B800" s="94"/>
      <c r="C800" s="9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>
      <c r="A801" s="94"/>
      <c r="B801" s="94"/>
      <c r="C801" s="9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>
      <c r="A802" s="94"/>
      <c r="B802" s="94"/>
      <c r="C802" s="9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>
      <c r="A803" s="94"/>
      <c r="B803" s="94"/>
      <c r="C803" s="9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>
      <c r="A804" s="94"/>
      <c r="B804" s="94"/>
      <c r="C804" s="9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>
      <c r="A805" s="94"/>
      <c r="B805" s="94"/>
      <c r="C805" s="9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>
      <c r="A806" s="94"/>
      <c r="B806" s="94"/>
      <c r="C806" s="9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>
      <c r="A807" s="94"/>
      <c r="B807" s="94"/>
      <c r="C807" s="9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>
      <c r="A808" s="94"/>
      <c r="B808" s="94"/>
      <c r="C808" s="9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>
      <c r="A809" s="94"/>
      <c r="B809" s="94"/>
      <c r="C809" s="9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>
      <c r="A810" s="94"/>
      <c r="B810" s="94"/>
      <c r="C810" s="9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>
      <c r="A811" s="94"/>
      <c r="B811" s="94"/>
      <c r="C811" s="9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>
      <c r="A812" s="94"/>
      <c r="B812" s="94"/>
      <c r="C812" s="9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>
      <c r="A813" s="94"/>
      <c r="B813" s="94"/>
      <c r="C813" s="9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>
      <c r="A814" s="94"/>
      <c r="B814" s="94"/>
      <c r="C814" s="9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>
      <c r="A815" s="94"/>
      <c r="B815" s="94"/>
      <c r="C815" s="9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>
      <c r="A816" s="94"/>
      <c r="B816" s="94"/>
      <c r="C816" s="9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>
      <c r="A817" s="94"/>
      <c r="B817" s="94"/>
      <c r="C817" s="9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>
      <c r="A818" s="94"/>
      <c r="B818" s="94"/>
      <c r="C818" s="9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>
      <c r="A819" s="94"/>
      <c r="B819" s="94"/>
      <c r="C819" s="9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>
      <c r="A820" s="94"/>
      <c r="B820" s="94"/>
      <c r="C820" s="9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>
      <c r="A821" s="94"/>
      <c r="B821" s="94"/>
      <c r="C821" s="9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>
      <c r="A822" s="94"/>
      <c r="B822" s="94"/>
      <c r="C822" s="9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>
      <c r="A823" s="94"/>
      <c r="B823" s="94"/>
      <c r="C823" s="9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>
      <c r="A824" s="94"/>
      <c r="B824" s="94"/>
      <c r="C824" s="9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>
      <c r="A825" s="94"/>
      <c r="B825" s="94"/>
      <c r="C825" s="9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>
      <c r="A826" s="94"/>
      <c r="B826" s="94"/>
      <c r="C826" s="9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>
      <c r="A827" s="94"/>
      <c r="B827" s="94"/>
      <c r="C827" s="9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>
      <c r="A828" s="94"/>
      <c r="B828" s="94"/>
      <c r="C828" s="9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>
      <c r="A829" s="94"/>
      <c r="B829" s="94"/>
      <c r="C829" s="9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>
      <c r="A830" s="94"/>
      <c r="B830" s="94"/>
      <c r="C830" s="9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>
      <c r="A831" s="94"/>
      <c r="B831" s="94"/>
      <c r="C831" s="9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>
      <c r="A832" s="94"/>
      <c r="B832" s="94"/>
      <c r="C832" s="9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>
      <c r="A833" s="94"/>
      <c r="B833" s="94"/>
      <c r="C833" s="9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>
      <c r="A834" s="94"/>
      <c r="B834" s="94"/>
      <c r="C834" s="9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>
      <c r="A835" s="94"/>
      <c r="B835" s="94"/>
      <c r="C835" s="9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>
      <c r="A836" s="94"/>
      <c r="B836" s="94"/>
      <c r="C836" s="9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>
      <c r="A837" s="94"/>
      <c r="B837" s="94"/>
      <c r="C837" s="9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>
      <c r="A838" s="94"/>
      <c r="B838" s="94"/>
      <c r="C838" s="9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>
      <c r="A839" s="94"/>
      <c r="B839" s="94"/>
      <c r="C839" s="9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>
      <c r="A840" s="94"/>
      <c r="B840" s="94"/>
      <c r="C840" s="9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>
      <c r="A841" s="94"/>
      <c r="B841" s="94"/>
      <c r="C841" s="9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>
      <c r="A842" s="94"/>
      <c r="B842" s="94"/>
      <c r="C842" s="9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>
      <c r="A843" s="94"/>
      <c r="B843" s="94"/>
      <c r="C843" s="9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>
      <c r="A844" s="94"/>
      <c r="B844" s="94"/>
      <c r="C844" s="9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>
      <c r="A845" s="94"/>
      <c r="B845" s="94"/>
      <c r="C845" s="9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>
      <c r="A846" s="94"/>
      <c r="B846" s="94"/>
      <c r="C846" s="9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>
      <c r="A847" s="94"/>
      <c r="B847" s="94"/>
      <c r="C847" s="9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>
      <c r="A848" s="94"/>
      <c r="B848" s="94"/>
      <c r="C848" s="9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>
      <c r="A849" s="94"/>
      <c r="B849" s="94"/>
      <c r="C849" s="9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>
      <c r="A850" s="94"/>
      <c r="B850" s="94"/>
      <c r="C850" s="9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>
      <c r="A851" s="94"/>
      <c r="B851" s="94"/>
      <c r="C851" s="9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>
      <c r="A852" s="94"/>
      <c r="B852" s="94"/>
      <c r="C852" s="9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>
      <c r="A853" s="94"/>
      <c r="B853" s="94"/>
      <c r="C853" s="9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>
      <c r="A854" s="94"/>
      <c r="B854" s="94"/>
      <c r="C854" s="9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>
      <c r="A855" s="94"/>
      <c r="B855" s="94"/>
      <c r="C855" s="9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>
      <c r="A856" s="94"/>
      <c r="B856" s="94"/>
      <c r="C856" s="9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>
      <c r="A857" s="94"/>
      <c r="B857" s="94"/>
      <c r="C857" s="9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>
      <c r="A858" s="94"/>
      <c r="B858" s="94"/>
      <c r="C858" s="9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>
      <c r="A859" s="94"/>
      <c r="B859" s="94"/>
      <c r="C859" s="9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>
      <c r="A860" s="94"/>
      <c r="B860" s="94"/>
      <c r="C860" s="9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>
      <c r="A861" s="94"/>
      <c r="B861" s="94"/>
      <c r="C861" s="9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>
      <c r="A862" s="94"/>
      <c r="B862" s="94"/>
      <c r="C862" s="9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>
      <c r="A863" s="94"/>
      <c r="B863" s="94"/>
      <c r="C863" s="9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>
      <c r="A864" s="94"/>
      <c r="B864" s="94"/>
      <c r="C864" s="9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>
      <c r="A865" s="94"/>
      <c r="B865" s="94"/>
      <c r="C865" s="9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>
      <c r="A866" s="94"/>
      <c r="B866" s="94"/>
      <c r="C866" s="9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>
      <c r="A867" s="94"/>
      <c r="B867" s="94"/>
      <c r="C867" s="9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>
      <c r="A868" s="94"/>
      <c r="B868" s="94"/>
      <c r="C868" s="9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>
      <c r="A869" s="94"/>
      <c r="B869" s="94"/>
      <c r="C869" s="9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>
      <c r="A870" s="94"/>
      <c r="B870" s="94"/>
      <c r="C870" s="9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>
      <c r="A871" s="94"/>
      <c r="B871" s="94"/>
      <c r="C871" s="9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>
      <c r="A872" s="94"/>
      <c r="B872" s="94"/>
      <c r="C872" s="9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>
      <c r="A873" s="94"/>
      <c r="B873" s="94"/>
      <c r="C873" s="9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>
      <c r="A874" s="94"/>
      <c r="B874" s="94"/>
      <c r="C874" s="9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>
      <c r="A875" s="94"/>
      <c r="B875" s="94"/>
      <c r="C875" s="9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>
      <c r="A876" s="94"/>
      <c r="B876" s="94"/>
      <c r="C876" s="9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>
      <c r="A877" s="94"/>
      <c r="B877" s="94"/>
      <c r="C877" s="9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>
      <c r="A878" s="94"/>
      <c r="B878" s="94"/>
      <c r="C878" s="9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>
      <c r="A879" s="94"/>
      <c r="B879" s="94"/>
      <c r="C879" s="9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>
      <c r="A880" s="94"/>
      <c r="B880" s="94"/>
      <c r="C880" s="9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>
      <c r="A881" s="94"/>
      <c r="B881" s="94"/>
      <c r="C881" s="9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>
      <c r="A882" s="94"/>
      <c r="B882" s="94"/>
      <c r="C882" s="9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>
      <c r="A883" s="94"/>
      <c r="B883" s="94"/>
      <c r="C883" s="9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>
      <c r="A884" s="94"/>
      <c r="B884" s="94"/>
      <c r="C884" s="9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>
      <c r="A885" s="94"/>
      <c r="B885" s="94"/>
      <c r="C885" s="9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>
      <c r="A886" s="94"/>
      <c r="B886" s="94"/>
      <c r="C886" s="9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>
      <c r="A887" s="94"/>
      <c r="B887" s="94"/>
      <c r="C887" s="9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>
      <c r="A888" s="94"/>
      <c r="B888" s="94"/>
      <c r="C888" s="9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>
      <c r="A889" s="94"/>
      <c r="B889" s="94"/>
      <c r="C889" s="9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>
      <c r="A890" s="94"/>
      <c r="B890" s="94"/>
      <c r="C890" s="9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>
      <c r="A891" s="94"/>
      <c r="B891" s="94"/>
      <c r="C891" s="9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>
      <c r="A892" s="94"/>
      <c r="B892" s="94"/>
      <c r="C892" s="9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>
      <c r="A893" s="94"/>
      <c r="B893" s="94"/>
      <c r="C893" s="9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>
      <c r="A894" s="94"/>
      <c r="B894" s="94"/>
      <c r="C894" s="9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>
      <c r="A895" s="94"/>
      <c r="B895" s="94"/>
      <c r="C895" s="9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>
      <c r="A896" s="94"/>
      <c r="B896" s="94"/>
      <c r="C896" s="9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>
      <c r="A897" s="94"/>
      <c r="B897" s="94"/>
      <c r="C897" s="9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>
      <c r="A898" s="94"/>
      <c r="B898" s="94"/>
      <c r="C898" s="9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>
      <c r="A899" s="94"/>
      <c r="B899" s="94"/>
      <c r="C899" s="9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>
      <c r="A900" s="94"/>
      <c r="B900" s="94"/>
      <c r="C900" s="9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>
      <c r="A901" s="94"/>
      <c r="B901" s="94"/>
      <c r="C901" s="9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>
      <c r="A902" s="94"/>
      <c r="B902" s="94"/>
      <c r="C902" s="9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>
      <c r="A903" s="94"/>
      <c r="B903" s="94"/>
      <c r="C903" s="9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>
      <c r="A904" s="94"/>
      <c r="B904" s="94"/>
      <c r="C904" s="9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>
      <c r="A905" s="94"/>
      <c r="B905" s="94"/>
      <c r="C905" s="9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>
      <c r="A906" s="94"/>
      <c r="B906" s="94"/>
      <c r="C906" s="9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>
      <c r="A907" s="94"/>
      <c r="B907" s="94"/>
      <c r="C907" s="9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>
      <c r="A908" s="94"/>
      <c r="B908" s="94"/>
      <c r="C908" s="9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>
      <c r="A909" s="94"/>
      <c r="B909" s="94"/>
      <c r="C909" s="9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>
      <c r="A910" s="94"/>
      <c r="B910" s="94"/>
      <c r="C910" s="9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>
      <c r="A911" s="94"/>
      <c r="B911" s="94"/>
      <c r="C911" s="9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>
      <c r="A912" s="94"/>
      <c r="B912" s="94"/>
      <c r="C912" s="9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>
      <c r="A913" s="94"/>
      <c r="B913" s="94"/>
      <c r="C913" s="9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>
      <c r="A914" s="94"/>
      <c r="B914" s="94"/>
      <c r="C914" s="9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>
      <c r="A915" s="94"/>
      <c r="B915" s="94"/>
      <c r="C915" s="9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>
      <c r="A916" s="94"/>
      <c r="B916" s="94"/>
      <c r="C916" s="9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>
      <c r="A917" s="94"/>
      <c r="B917" s="94"/>
      <c r="C917" s="9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>
      <c r="A918" s="94"/>
      <c r="B918" s="94"/>
      <c r="C918" s="9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>
      <c r="A919" s="94"/>
      <c r="B919" s="94"/>
      <c r="C919" s="9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>
      <c r="A920" s="94"/>
      <c r="B920" s="94"/>
      <c r="C920" s="9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>
      <c r="A921" s="94"/>
      <c r="B921" s="94"/>
      <c r="C921" s="9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>
      <c r="A922" s="94"/>
      <c r="B922" s="94"/>
      <c r="C922" s="9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>
      <c r="A923" s="94"/>
      <c r="B923" s="94"/>
      <c r="C923" s="9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>
      <c r="A924" s="94"/>
      <c r="B924" s="94"/>
      <c r="C924" s="9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>
      <c r="A925" s="94"/>
      <c r="B925" s="94"/>
      <c r="C925" s="9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>
      <c r="A926" s="94"/>
      <c r="B926" s="94"/>
      <c r="C926" s="9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>
      <c r="A927" s="94"/>
      <c r="B927" s="94"/>
      <c r="C927" s="9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>
      <c r="A928" s="94"/>
      <c r="B928" s="94"/>
      <c r="C928" s="9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>
      <c r="A929" s="94"/>
      <c r="B929" s="94"/>
      <c r="C929" s="9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>
      <c r="A930" s="94"/>
      <c r="B930" s="94"/>
      <c r="C930" s="9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>
      <c r="A931" s="94"/>
      <c r="B931" s="94"/>
      <c r="C931" s="9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>
      <c r="A932" s="94"/>
      <c r="B932" s="94"/>
      <c r="C932" s="9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>
      <c r="A933" s="94"/>
      <c r="B933" s="94"/>
      <c r="C933" s="9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>
      <c r="A934" s="94"/>
      <c r="B934" s="94"/>
      <c r="C934" s="9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>
      <c r="A935" s="94"/>
      <c r="B935" s="94"/>
      <c r="C935" s="9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>
      <c r="A936" s="94"/>
      <c r="B936" s="94"/>
      <c r="C936" s="9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>
      <c r="A937" s="94"/>
      <c r="B937" s="94"/>
      <c r="C937" s="9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>
      <c r="A938" s="94"/>
      <c r="B938" s="94"/>
      <c r="C938" s="9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>
      <c r="A939" s="94"/>
      <c r="B939" s="94"/>
      <c r="C939" s="9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>
      <c r="A940" s="94"/>
      <c r="B940" s="94"/>
      <c r="C940" s="9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>
      <c r="A941" s="94"/>
      <c r="B941" s="94"/>
      <c r="C941" s="9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>
      <c r="A942" s="94"/>
      <c r="B942" s="94"/>
      <c r="C942" s="9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>
      <c r="A943" s="94"/>
      <c r="B943" s="94"/>
      <c r="C943" s="9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>
      <c r="A944" s="94"/>
      <c r="B944" s="94"/>
      <c r="C944" s="9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>
      <c r="A945" s="94"/>
      <c r="B945" s="94"/>
      <c r="C945" s="9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>
      <c r="A946" s="94"/>
      <c r="B946" s="94"/>
      <c r="C946" s="9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>
      <c r="A947" s="94"/>
      <c r="B947" s="94"/>
      <c r="C947" s="9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>
      <c r="A948" s="94"/>
      <c r="B948" s="94"/>
      <c r="C948" s="9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>
      <c r="A949" s="94"/>
      <c r="B949" s="94"/>
      <c r="C949" s="9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>
      <c r="A950" s="94"/>
      <c r="B950" s="94"/>
      <c r="C950" s="9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>
      <c r="A951" s="94"/>
      <c r="B951" s="94"/>
      <c r="C951" s="9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>
      <c r="A952" s="94"/>
      <c r="B952" s="94"/>
      <c r="C952" s="9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>
      <c r="A953" s="94"/>
      <c r="B953" s="94"/>
      <c r="C953" s="9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>
      <c r="A954" s="94"/>
      <c r="B954" s="94"/>
      <c r="C954" s="9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>
      <c r="A955" s="94"/>
      <c r="B955" s="94"/>
      <c r="C955" s="9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>
      <c r="A956" s="94"/>
      <c r="B956" s="94"/>
      <c r="C956" s="9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>
      <c r="A957" s="94"/>
      <c r="B957" s="94"/>
      <c r="C957" s="9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>
      <c r="A958" s="94"/>
      <c r="B958" s="94"/>
      <c r="C958" s="9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>
      <c r="A959" s="94"/>
      <c r="B959" s="94"/>
      <c r="C959" s="9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>
      <c r="A960" s="94"/>
      <c r="B960" s="94"/>
      <c r="C960" s="9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>
      <c r="A961" s="94"/>
      <c r="B961" s="94"/>
      <c r="C961" s="9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>
      <c r="A962" s="94"/>
      <c r="B962" s="94"/>
      <c r="C962" s="9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>
      <c r="A963" s="94"/>
      <c r="B963" s="94"/>
      <c r="C963" s="9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>
      <c r="A964" s="94"/>
      <c r="B964" s="94"/>
      <c r="C964" s="9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>
      <c r="A965" s="94"/>
      <c r="B965" s="94"/>
      <c r="C965" s="9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>
      <c r="A966" s="94"/>
      <c r="B966" s="94"/>
      <c r="C966" s="9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>
      <c r="A967" s="94"/>
      <c r="B967" s="94"/>
      <c r="C967" s="9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>
      <c r="A968" s="94"/>
      <c r="B968" s="94"/>
      <c r="C968" s="9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>
      <c r="A969" s="94"/>
      <c r="B969" s="94"/>
      <c r="C969" s="9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>
      <c r="A970" s="94"/>
      <c r="B970" s="94"/>
      <c r="C970" s="9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>
      <c r="A971" s="94"/>
      <c r="B971" s="94"/>
      <c r="C971" s="9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>
      <c r="A972" s="94"/>
      <c r="B972" s="94"/>
      <c r="C972" s="9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>
      <c r="A973" s="94"/>
      <c r="B973" s="94"/>
      <c r="C973" s="9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>
      <c r="A974" s="94"/>
      <c r="B974" s="94"/>
      <c r="C974" s="9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>
      <c r="A975" s="94"/>
      <c r="B975" s="94"/>
      <c r="C975" s="9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>
      <c r="A976" s="94"/>
      <c r="B976" s="94"/>
      <c r="C976" s="9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>
      <c r="A977" s="94"/>
      <c r="B977" s="94"/>
      <c r="C977" s="9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>
      <c r="A978" s="94"/>
      <c r="B978" s="94"/>
      <c r="C978" s="9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>
      <c r="A979" s="94"/>
      <c r="B979" s="94"/>
      <c r="C979" s="9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>
      <c r="A980" s="94"/>
      <c r="B980" s="94"/>
      <c r="C980" s="9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>
      <c r="A981" s="94"/>
      <c r="B981" s="94"/>
      <c r="C981" s="9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>
      <c r="A982" s="94"/>
      <c r="B982" s="94"/>
      <c r="C982" s="9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>
      <c r="A983" s="94"/>
      <c r="B983" s="94"/>
      <c r="C983" s="9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>
      <c r="A984" s="94"/>
      <c r="B984" s="94"/>
      <c r="C984" s="9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>
      <c r="A985" s="94"/>
      <c r="B985" s="94"/>
      <c r="C985" s="9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>
      <c r="A986" s="94"/>
      <c r="B986" s="94"/>
      <c r="C986" s="9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>
      <c r="A987" s="94"/>
      <c r="B987" s="94"/>
      <c r="C987" s="9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>
      <c r="A988" s="94"/>
      <c r="B988" s="94"/>
      <c r="C988" s="9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>
      <c r="A989" s="94"/>
      <c r="B989" s="94"/>
      <c r="C989" s="9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>
      <c r="A990" s="94"/>
      <c r="B990" s="94"/>
      <c r="C990" s="9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>
      <c r="A991" s="94"/>
      <c r="B991" s="94"/>
      <c r="C991" s="9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>
      <c r="A992" s="94"/>
      <c r="B992" s="94"/>
      <c r="C992" s="9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>
      <c r="A993" s="94"/>
      <c r="B993" s="94"/>
      <c r="C993" s="9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>
      <c r="A994" s="94"/>
      <c r="B994" s="94"/>
      <c r="C994" s="9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>
      <c r="A995" s="94"/>
      <c r="B995" s="94"/>
      <c r="C995" s="9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>
      <c r="A996" s="94"/>
      <c r="B996" s="94"/>
      <c r="C996" s="9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>
      <c r="A997" s="94"/>
      <c r="B997" s="94"/>
      <c r="C997" s="9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>
      <c r="A998" s="94"/>
      <c r="B998" s="94"/>
      <c r="C998" s="9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>
      <c r="A999" s="94"/>
      <c r="B999" s="94"/>
      <c r="C999" s="9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>
      <c r="A1000" s="94"/>
      <c r="B1000" s="94"/>
      <c r="C1000" s="9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5">
      <c r="A1" s="94" t="s">
        <v>154</v>
      </c>
      <c r="B1" s="94" t="s">
        <v>158</v>
      </c>
      <c r="C1" s="1" t="s">
        <v>159</v>
      </c>
      <c r="D1" s="1" t="s">
        <v>155</v>
      </c>
      <c r="E1" s="1"/>
    </row>
    <row r="2" spans="1:5">
      <c r="A2" s="94">
        <v>3267</v>
      </c>
      <c r="B2" s="94">
        <v>646.70717122876499</v>
      </c>
      <c r="D2" s="1" t="s">
        <v>157</v>
      </c>
      <c r="E2" s="1"/>
    </row>
    <row r="3" spans="1:5">
      <c r="A3" s="94">
        <v>1767</v>
      </c>
      <c r="B3" s="94">
        <v>415.210760539494</v>
      </c>
      <c r="D3" s="1" t="s">
        <v>157</v>
      </c>
    </row>
    <row r="4" spans="1:5">
      <c r="A4" s="94">
        <v>3173</v>
      </c>
      <c r="B4" s="94">
        <v>603.68235162326505</v>
      </c>
      <c r="D4" s="1" t="s">
        <v>157</v>
      </c>
    </row>
    <row r="5" spans="1:5">
      <c r="A5" s="94">
        <v>1856</v>
      </c>
      <c r="B5" s="94">
        <v>290.71207422927301</v>
      </c>
      <c r="D5" s="1" t="s">
        <v>157</v>
      </c>
    </row>
    <row r="6" spans="1:5">
      <c r="A6" s="94">
        <v>2238</v>
      </c>
      <c r="B6" s="94">
        <v>459.42495849904202</v>
      </c>
      <c r="D6" s="1" t="s">
        <v>157</v>
      </c>
    </row>
    <row r="7" spans="1:5">
      <c r="A7" s="94">
        <v>2186</v>
      </c>
      <c r="B7" s="94">
        <v>451.913648157068</v>
      </c>
      <c r="D7" s="1" t="s">
        <v>157</v>
      </c>
    </row>
    <row r="8" spans="1:5">
      <c r="A8" s="94">
        <v>2759</v>
      </c>
      <c r="B8" s="94">
        <v>513.91971935631102</v>
      </c>
      <c r="D8" s="1" t="s">
        <v>157</v>
      </c>
    </row>
    <row r="9" spans="1:5">
      <c r="A9" s="94">
        <v>3436</v>
      </c>
      <c r="B9" s="94">
        <v>704.33633982626895</v>
      </c>
      <c r="D9" s="1" t="s">
        <v>157</v>
      </c>
    </row>
    <row r="10" spans="1:5">
      <c r="A10" s="94">
        <v>2368</v>
      </c>
      <c r="B10" s="94">
        <v>444.815311403517</v>
      </c>
      <c r="D10" s="1" t="s">
        <v>157</v>
      </c>
    </row>
    <row r="11" spans="1:5">
      <c r="A11" s="94">
        <v>1810</v>
      </c>
      <c r="B11" s="94">
        <v>347.58307688606999</v>
      </c>
      <c r="D11" s="1" t="s">
        <v>157</v>
      </c>
    </row>
    <row r="12" spans="1:5">
      <c r="A12" s="94">
        <v>2188</v>
      </c>
      <c r="B12" s="94">
        <v>428.60174612182902</v>
      </c>
      <c r="D12" s="1" t="s">
        <v>157</v>
      </c>
    </row>
    <row r="13" spans="1:5">
      <c r="A13" s="94">
        <v>3495</v>
      </c>
      <c r="B13" s="94">
        <v>626.24167615074202</v>
      </c>
      <c r="D13" s="1" t="s">
        <v>157</v>
      </c>
    </row>
    <row r="14" spans="1:5">
      <c r="A14" s="94">
        <v>1520</v>
      </c>
      <c r="B14" s="94">
        <v>348.614731008717</v>
      </c>
      <c r="D14" s="1" t="s">
        <v>157</v>
      </c>
    </row>
    <row r="15" spans="1:5">
      <c r="A15" s="94">
        <v>1585</v>
      </c>
      <c r="B15" s="94">
        <v>360.68102331637601</v>
      </c>
      <c r="D15" s="1" t="s">
        <v>157</v>
      </c>
    </row>
    <row r="16" spans="1:5">
      <c r="A16" s="94">
        <v>1925</v>
      </c>
      <c r="B16" s="94">
        <v>460.24625858626302</v>
      </c>
      <c r="D16" s="1" t="s">
        <v>157</v>
      </c>
    </row>
    <row r="17" spans="1:4">
      <c r="A17" s="94">
        <v>3483</v>
      </c>
      <c r="B17" s="94">
        <v>545.72580503344795</v>
      </c>
      <c r="D17" s="1" t="s">
        <v>157</v>
      </c>
    </row>
    <row r="18" spans="1:4">
      <c r="A18" s="94">
        <v>2860</v>
      </c>
      <c r="B18" s="94">
        <v>538.57066235531602</v>
      </c>
      <c r="D18" s="1" t="s">
        <v>157</v>
      </c>
    </row>
    <row r="19" spans="1:4">
      <c r="A19" s="94">
        <v>1644</v>
      </c>
      <c r="B19" s="94">
        <v>366.14906127811503</v>
      </c>
      <c r="D19" s="1" t="s">
        <v>157</v>
      </c>
    </row>
    <row r="20" spans="1:4">
      <c r="A20" s="94">
        <v>3373</v>
      </c>
      <c r="B20" s="94">
        <v>631.43704741220802</v>
      </c>
      <c r="D20" s="1" t="s">
        <v>157</v>
      </c>
    </row>
    <row r="21" spans="1:4">
      <c r="A21" s="94">
        <v>1679</v>
      </c>
      <c r="B21" s="94">
        <v>294.36393613336998</v>
      </c>
      <c r="D21" s="1" t="s">
        <v>157</v>
      </c>
    </row>
    <row r="22" spans="1:4">
      <c r="A22" s="94">
        <v>778</v>
      </c>
      <c r="B22" s="94"/>
      <c r="C22" s="94">
        <v>116.673131288167</v>
      </c>
      <c r="D22" s="1" t="s">
        <v>156</v>
      </c>
    </row>
    <row r="23" spans="1:4">
      <c r="A23" s="94">
        <v>903</v>
      </c>
      <c r="B23" s="94"/>
      <c r="C23" s="94">
        <v>68.367653860571593</v>
      </c>
      <c r="D23" s="1" t="s">
        <v>156</v>
      </c>
    </row>
    <row r="24" spans="1:4">
      <c r="A24" s="94">
        <v>960</v>
      </c>
      <c r="B24" s="94"/>
      <c r="C24" s="94">
        <v>130.09614758322499</v>
      </c>
      <c r="D24" s="1" t="s">
        <v>156</v>
      </c>
    </row>
    <row r="25" spans="1:4">
      <c r="A25" s="94">
        <v>1352</v>
      </c>
      <c r="B25" s="94"/>
      <c r="C25" s="94">
        <v>142.54842012044401</v>
      </c>
      <c r="D25" s="1" t="s">
        <v>156</v>
      </c>
    </row>
    <row r="26" spans="1:4">
      <c r="A26" s="94">
        <v>925</v>
      </c>
      <c r="B26" s="94"/>
      <c r="C26" s="94">
        <v>128.09147139677401</v>
      </c>
      <c r="D26" s="1" t="s">
        <v>156</v>
      </c>
    </row>
    <row r="27" spans="1:4">
      <c r="A27" s="94">
        <v>775</v>
      </c>
      <c r="B27" s="94"/>
      <c r="C27" s="94">
        <v>156.01415931364599</v>
      </c>
      <c r="D27" s="1" t="s">
        <v>156</v>
      </c>
    </row>
    <row r="28" spans="1:4">
      <c r="A28" s="94">
        <v>1204</v>
      </c>
      <c r="B28" s="94"/>
      <c r="C28" s="94">
        <v>150.55140213203501</v>
      </c>
      <c r="D28" s="1" t="s">
        <v>156</v>
      </c>
    </row>
    <row r="29" spans="1:4">
      <c r="A29" s="94">
        <v>1013</v>
      </c>
      <c r="B29" s="94"/>
      <c r="C29" s="94">
        <v>194.174616351976</v>
      </c>
      <c r="D29" s="1" t="s">
        <v>156</v>
      </c>
    </row>
    <row r="30" spans="1:4">
      <c r="A30" s="94">
        <v>1164</v>
      </c>
      <c r="B30" s="94"/>
      <c r="C30" s="94">
        <v>138.99864290967901</v>
      </c>
      <c r="D30" s="1" t="s">
        <v>156</v>
      </c>
    </row>
    <row r="31" spans="1:4">
      <c r="A31" s="94">
        <v>929</v>
      </c>
      <c r="B31" s="94"/>
      <c r="C31" s="94">
        <v>160.67390581996801</v>
      </c>
      <c r="D31" s="1" t="s">
        <v>156</v>
      </c>
    </row>
    <row r="32" spans="1:4">
      <c r="A32" s="94">
        <v>967</v>
      </c>
      <c r="B32" s="94"/>
      <c r="C32" s="94">
        <v>46.406148905081103</v>
      </c>
      <c r="D32" s="1" t="s">
        <v>156</v>
      </c>
    </row>
    <row r="33" spans="1:4">
      <c r="A33" s="94">
        <v>635</v>
      </c>
      <c r="B33" s="94"/>
      <c r="C33" s="94">
        <v>148.37506769381099</v>
      </c>
      <c r="D33" s="1" t="s">
        <v>156</v>
      </c>
    </row>
    <row r="34" spans="1:4">
      <c r="A34" s="94">
        <v>824</v>
      </c>
      <c r="B34" s="94"/>
      <c r="C34" s="94">
        <v>173.64030721655399</v>
      </c>
      <c r="D34" s="1" t="s">
        <v>156</v>
      </c>
    </row>
    <row r="35" spans="1:4">
      <c r="A35" s="94">
        <v>977</v>
      </c>
      <c r="B35" s="94"/>
      <c r="C35" s="94">
        <v>168.551703035278</v>
      </c>
      <c r="D35" s="1" t="s">
        <v>156</v>
      </c>
    </row>
    <row r="36" spans="1:4">
      <c r="A36" s="94">
        <v>1112</v>
      </c>
      <c r="B36" s="94"/>
      <c r="C36" s="94">
        <v>143.301783191038</v>
      </c>
      <c r="D36" s="1" t="s">
        <v>156</v>
      </c>
    </row>
    <row r="37" spans="1:4">
      <c r="A37" s="94">
        <v>1167</v>
      </c>
      <c r="B37" s="94"/>
      <c r="C37" s="94">
        <v>146.49211243782099</v>
      </c>
      <c r="D37" s="1" t="s">
        <v>156</v>
      </c>
    </row>
    <row r="38" spans="1:4">
      <c r="A38" s="94">
        <v>1365</v>
      </c>
      <c r="B38" s="94"/>
      <c r="C38" s="94">
        <v>188.870452225544</v>
      </c>
      <c r="D38" s="1" t="s">
        <v>156</v>
      </c>
    </row>
    <row r="39" spans="1:4">
      <c r="A39" s="94">
        <v>1232</v>
      </c>
      <c r="B39" s="94"/>
      <c r="C39" s="94">
        <v>186.670874290531</v>
      </c>
      <c r="D39" s="1" t="s">
        <v>156</v>
      </c>
    </row>
    <row r="40" spans="1:4">
      <c r="A40" s="94">
        <v>767</v>
      </c>
      <c r="B40" s="94"/>
      <c r="C40" s="94">
        <v>88.4888094230257</v>
      </c>
      <c r="D40" s="1" t="s">
        <v>156</v>
      </c>
    </row>
    <row r="41" spans="1:4">
      <c r="A41" s="94">
        <v>997</v>
      </c>
      <c r="B41" s="94"/>
      <c r="C41" s="94">
        <v>221.49325859676901</v>
      </c>
      <c r="D41" s="1" t="s">
        <v>156</v>
      </c>
    </row>
    <row r="42" spans="1:4">
      <c r="A42" s="94"/>
      <c r="B42" s="94"/>
      <c r="C42" s="94"/>
    </row>
    <row r="43" spans="1:4">
      <c r="A43" s="94"/>
      <c r="B43" s="94"/>
      <c r="C43" s="94"/>
    </row>
    <row r="44" spans="1:4">
      <c r="A44" s="94"/>
      <c r="B44" s="94"/>
      <c r="C44" s="94"/>
    </row>
    <row r="45" spans="1:4">
      <c r="A45" s="94"/>
      <c r="B45" s="94"/>
      <c r="C45" s="94"/>
    </row>
    <row r="46" spans="1:4">
      <c r="A46" s="94"/>
      <c r="B46" s="94"/>
      <c r="C46" s="94"/>
    </row>
    <row r="47" spans="1:4">
      <c r="A47" s="94"/>
      <c r="B47" s="94"/>
      <c r="C47" s="94"/>
    </row>
    <row r="48" spans="1:4">
      <c r="A48" s="94"/>
      <c r="B48" s="94"/>
      <c r="C48" s="94"/>
    </row>
    <row r="49" spans="1:3">
      <c r="A49" s="94"/>
      <c r="B49" s="94"/>
      <c r="C49" s="94"/>
    </row>
    <row r="50" spans="1:3">
      <c r="A50" s="94"/>
      <c r="B50" s="94"/>
      <c r="C50" s="94"/>
    </row>
    <row r="51" spans="1:3">
      <c r="A51" s="94"/>
      <c r="B51" s="94"/>
      <c r="C51" s="94"/>
    </row>
    <row r="52" spans="1:3">
      <c r="A52" s="94"/>
      <c r="B52" s="94"/>
      <c r="C52" s="94"/>
    </row>
    <row r="53" spans="1:3">
      <c r="A53" s="94"/>
      <c r="B53" s="94"/>
      <c r="C53" s="94"/>
    </row>
    <row r="54" spans="1:3">
      <c r="A54" s="94"/>
      <c r="B54" s="94"/>
      <c r="C54" s="94"/>
    </row>
    <row r="55" spans="1:3">
      <c r="A55" s="94"/>
      <c r="B55" s="94"/>
      <c r="C55" s="94"/>
    </row>
    <row r="56" spans="1:3">
      <c r="A56" s="94"/>
      <c r="B56" s="94"/>
      <c r="C56" s="94"/>
    </row>
    <row r="57" spans="1:3">
      <c r="A57" s="94"/>
      <c r="B57" s="94"/>
      <c r="C57" s="94"/>
    </row>
    <row r="58" spans="1:3">
      <c r="A58" s="94"/>
      <c r="B58" s="94"/>
      <c r="C58" s="94"/>
    </row>
    <row r="59" spans="1:3">
      <c r="A59" s="94"/>
      <c r="B59" s="94"/>
      <c r="C59" s="94"/>
    </row>
    <row r="60" spans="1:3">
      <c r="A60" s="94"/>
      <c r="B60" s="94"/>
      <c r="C60" s="94"/>
    </row>
    <row r="61" spans="1:3">
      <c r="A61" s="94"/>
      <c r="B61" s="94"/>
      <c r="C61" s="94"/>
    </row>
    <row r="62" spans="1:3">
      <c r="A62" s="94"/>
      <c r="B62" s="94"/>
      <c r="C62" s="94"/>
    </row>
    <row r="63" spans="1:3">
      <c r="A63" s="94"/>
      <c r="B63" s="94"/>
      <c r="C63" s="94"/>
    </row>
    <row r="64" spans="1:3">
      <c r="A64" s="94"/>
      <c r="B64" s="94"/>
      <c r="C64" s="94"/>
    </row>
    <row r="65" spans="1:3">
      <c r="A65" s="94"/>
      <c r="B65" s="94"/>
      <c r="C65" s="94"/>
    </row>
    <row r="66" spans="1:3">
      <c r="A66" s="94"/>
      <c r="B66" s="94"/>
      <c r="C66" s="94"/>
    </row>
    <row r="67" spans="1:3">
      <c r="A67" s="94"/>
      <c r="B67" s="94"/>
      <c r="C67" s="94"/>
    </row>
    <row r="68" spans="1:3">
      <c r="A68" s="94"/>
      <c r="B68" s="94"/>
      <c r="C68" s="94"/>
    </row>
    <row r="69" spans="1:3">
      <c r="A69" s="94"/>
      <c r="B69" s="94"/>
      <c r="C69" s="94"/>
    </row>
    <row r="70" spans="1:3">
      <c r="A70" s="94"/>
      <c r="B70" s="94"/>
      <c r="C70" s="94"/>
    </row>
    <row r="71" spans="1:3">
      <c r="A71" s="94"/>
      <c r="B71" s="94"/>
      <c r="C71" s="94"/>
    </row>
    <row r="72" spans="1:3">
      <c r="A72" s="94"/>
      <c r="B72" s="94"/>
      <c r="C72" s="94"/>
    </row>
    <row r="73" spans="1:3">
      <c r="A73" s="94"/>
      <c r="B73" s="94"/>
      <c r="C73" s="94"/>
    </row>
    <row r="74" spans="1:3">
      <c r="A74" s="94"/>
      <c r="B74" s="94"/>
      <c r="C74" s="94"/>
    </row>
    <row r="75" spans="1:3">
      <c r="A75" s="94"/>
      <c r="B75" s="94"/>
      <c r="C75" s="94"/>
    </row>
    <row r="76" spans="1:3">
      <c r="A76" s="94"/>
      <c r="B76" s="94"/>
      <c r="C76" s="94"/>
    </row>
    <row r="77" spans="1:3">
      <c r="A77" s="94"/>
      <c r="B77" s="94"/>
      <c r="C77" s="94"/>
    </row>
    <row r="78" spans="1:3">
      <c r="A78" s="94"/>
      <c r="B78" s="94"/>
      <c r="C78" s="94"/>
    </row>
    <row r="79" spans="1:3">
      <c r="A79" s="94"/>
      <c r="B79" s="94"/>
      <c r="C79" s="94"/>
    </row>
    <row r="80" spans="1:3">
      <c r="A80" s="94"/>
      <c r="B80" s="94"/>
      <c r="C80" s="94"/>
    </row>
    <row r="81" spans="1:3">
      <c r="A81" s="94"/>
      <c r="B81" s="94"/>
      <c r="C81" s="94"/>
    </row>
    <row r="82" spans="1:3">
      <c r="A82" s="94"/>
      <c r="B82" s="94"/>
      <c r="C82" s="94"/>
    </row>
    <row r="83" spans="1:3">
      <c r="A83" s="94"/>
      <c r="B83" s="94"/>
      <c r="C83" s="94"/>
    </row>
    <row r="84" spans="1:3">
      <c r="A84" s="94"/>
      <c r="B84" s="94"/>
      <c r="C84" s="94"/>
    </row>
    <row r="85" spans="1:3">
      <c r="A85" s="94"/>
      <c r="B85" s="94"/>
      <c r="C85" s="94"/>
    </row>
    <row r="86" spans="1:3">
      <c r="A86" s="94"/>
      <c r="B86" s="94"/>
      <c r="C86" s="94"/>
    </row>
    <row r="87" spans="1:3">
      <c r="A87" s="94"/>
      <c r="B87" s="94"/>
      <c r="C87" s="94"/>
    </row>
    <row r="88" spans="1:3">
      <c r="A88" s="94"/>
      <c r="B88" s="94"/>
      <c r="C88" s="94"/>
    </row>
    <row r="89" spans="1:3">
      <c r="A89" s="94"/>
      <c r="B89" s="94"/>
      <c r="C89" s="94"/>
    </row>
    <row r="90" spans="1:3">
      <c r="A90" s="94"/>
      <c r="B90" s="94"/>
      <c r="C90" s="94"/>
    </row>
    <row r="91" spans="1:3">
      <c r="A91" s="94"/>
      <c r="B91" s="94"/>
      <c r="C91" s="94"/>
    </row>
    <row r="92" spans="1:3">
      <c r="A92" s="94"/>
      <c r="B92" s="94"/>
      <c r="C92" s="94"/>
    </row>
    <row r="93" spans="1:3">
      <c r="A93" s="94"/>
      <c r="B93" s="94"/>
      <c r="C93" s="94"/>
    </row>
    <row r="94" spans="1:3">
      <c r="A94" s="94"/>
      <c r="B94" s="94"/>
      <c r="C94" s="94"/>
    </row>
    <row r="95" spans="1:3">
      <c r="A95" s="94"/>
      <c r="B95" s="94"/>
      <c r="C95" s="94"/>
    </row>
    <row r="96" spans="1:3">
      <c r="A96" s="94"/>
      <c r="B96" s="94"/>
      <c r="C96" s="94"/>
    </row>
    <row r="97" spans="1:3">
      <c r="A97" s="94"/>
      <c r="B97" s="94"/>
      <c r="C97" s="94"/>
    </row>
    <row r="98" spans="1:3">
      <c r="A98" s="94"/>
      <c r="B98" s="94"/>
      <c r="C98" s="94"/>
    </row>
    <row r="99" spans="1:3">
      <c r="A99" s="94"/>
      <c r="B99" s="94"/>
      <c r="C99" s="94"/>
    </row>
    <row r="100" spans="1:3">
      <c r="A100" s="94"/>
      <c r="B100" s="94"/>
      <c r="C100" s="94"/>
    </row>
    <row r="101" spans="1:3">
      <c r="A101" s="94"/>
      <c r="B101" s="94"/>
      <c r="C101" s="94"/>
    </row>
    <row r="102" spans="1:3">
      <c r="A102" s="94"/>
      <c r="B102" s="94"/>
      <c r="C102" s="94"/>
    </row>
    <row r="103" spans="1:3">
      <c r="A103" s="94"/>
      <c r="B103" s="94"/>
      <c r="C103" s="94"/>
    </row>
    <row r="104" spans="1:3">
      <c r="A104" s="94"/>
      <c r="B104" s="94"/>
      <c r="C104" s="94"/>
    </row>
    <row r="105" spans="1:3">
      <c r="A105" s="94"/>
      <c r="B105" s="94"/>
      <c r="C105" s="94"/>
    </row>
    <row r="106" spans="1:3">
      <c r="A106" s="94"/>
      <c r="B106" s="94"/>
      <c r="C106" s="94"/>
    </row>
    <row r="107" spans="1:3">
      <c r="A107" s="94"/>
      <c r="B107" s="94"/>
      <c r="C107" s="94"/>
    </row>
    <row r="108" spans="1:3">
      <c r="A108" s="94"/>
      <c r="B108" s="94"/>
      <c r="C108" s="94"/>
    </row>
    <row r="109" spans="1:3">
      <c r="A109" s="94"/>
      <c r="B109" s="94"/>
      <c r="C109" s="94"/>
    </row>
    <row r="110" spans="1:3">
      <c r="A110" s="94"/>
      <c r="B110" s="94"/>
      <c r="C110" s="94"/>
    </row>
    <row r="111" spans="1:3">
      <c r="A111" s="94"/>
      <c r="B111" s="94"/>
      <c r="C111" s="94"/>
    </row>
    <row r="112" spans="1:3">
      <c r="A112" s="94"/>
      <c r="B112" s="94"/>
      <c r="C112" s="94"/>
    </row>
    <row r="113" spans="1:3">
      <c r="A113" s="94"/>
      <c r="B113" s="94"/>
      <c r="C113" s="94"/>
    </row>
    <row r="114" spans="1:3">
      <c r="A114" s="94"/>
      <c r="B114" s="94"/>
      <c r="C114" s="94"/>
    </row>
    <row r="115" spans="1:3">
      <c r="A115" s="94"/>
      <c r="B115" s="94"/>
      <c r="C115" s="94"/>
    </row>
    <row r="116" spans="1:3">
      <c r="A116" s="94"/>
      <c r="B116" s="94"/>
      <c r="C116" s="94"/>
    </row>
    <row r="117" spans="1:3">
      <c r="A117" s="94"/>
      <c r="B117" s="94"/>
      <c r="C117" s="94"/>
    </row>
    <row r="118" spans="1:3">
      <c r="A118" s="94"/>
      <c r="B118" s="94"/>
      <c r="C118" s="94"/>
    </row>
    <row r="119" spans="1:3">
      <c r="A119" s="94"/>
      <c r="B119" s="94"/>
      <c r="C119" s="94"/>
    </row>
    <row r="120" spans="1:3">
      <c r="A120" s="94"/>
      <c r="B120" s="94"/>
      <c r="C120" s="94"/>
    </row>
    <row r="121" spans="1:3">
      <c r="A121" s="94"/>
      <c r="B121" s="94"/>
      <c r="C121" s="94"/>
    </row>
    <row r="122" spans="1:3">
      <c r="A122" s="94"/>
      <c r="B122" s="94"/>
      <c r="C122" s="94"/>
    </row>
    <row r="123" spans="1:3">
      <c r="A123" s="94"/>
      <c r="B123" s="94"/>
      <c r="C123" s="94"/>
    </row>
    <row r="124" spans="1:3">
      <c r="A124" s="94"/>
      <c r="B124" s="94"/>
      <c r="C124" s="94"/>
    </row>
    <row r="125" spans="1:3">
      <c r="A125" s="94"/>
      <c r="B125" s="94"/>
      <c r="C125" s="94"/>
    </row>
    <row r="126" spans="1:3">
      <c r="A126" s="94"/>
      <c r="B126" s="94"/>
      <c r="C126" s="94"/>
    </row>
    <row r="127" spans="1:3">
      <c r="A127" s="94"/>
      <c r="B127" s="94"/>
      <c r="C127" s="94"/>
    </row>
    <row r="128" spans="1:3">
      <c r="A128" s="94"/>
      <c r="B128" s="94"/>
      <c r="C128" s="94"/>
    </row>
    <row r="129" spans="1:3">
      <c r="A129" s="94"/>
      <c r="B129" s="94"/>
      <c r="C129" s="94"/>
    </row>
    <row r="130" spans="1:3">
      <c r="A130" s="94"/>
      <c r="B130" s="94"/>
      <c r="C130" s="94"/>
    </row>
    <row r="131" spans="1:3">
      <c r="A131" s="94"/>
      <c r="B131" s="94"/>
      <c r="C131" s="94"/>
    </row>
    <row r="132" spans="1:3">
      <c r="A132" s="94"/>
      <c r="B132" s="94"/>
      <c r="C132" s="94"/>
    </row>
    <row r="133" spans="1:3">
      <c r="A133" s="94"/>
      <c r="B133" s="94"/>
      <c r="C133" s="94"/>
    </row>
    <row r="134" spans="1:3">
      <c r="A134" s="94"/>
      <c r="B134" s="94"/>
      <c r="C134" s="94"/>
    </row>
    <row r="135" spans="1:3">
      <c r="A135" s="94"/>
      <c r="B135" s="94"/>
      <c r="C135" s="94"/>
    </row>
    <row r="136" spans="1:3">
      <c r="A136" s="94"/>
      <c r="B136" s="94"/>
      <c r="C136" s="94"/>
    </row>
    <row r="137" spans="1:3">
      <c r="A137" s="94"/>
      <c r="B137" s="94"/>
      <c r="C137" s="94"/>
    </row>
    <row r="138" spans="1:3">
      <c r="A138" s="94"/>
      <c r="B138" s="94"/>
      <c r="C138" s="94"/>
    </row>
    <row r="139" spans="1:3">
      <c r="A139" s="94"/>
      <c r="B139" s="94"/>
      <c r="C139" s="94"/>
    </row>
    <row r="140" spans="1:3">
      <c r="A140" s="94"/>
      <c r="B140" s="94"/>
      <c r="C140" s="94"/>
    </row>
    <row r="141" spans="1:3">
      <c r="A141" s="94"/>
      <c r="B141" s="94"/>
      <c r="C141" s="94"/>
    </row>
    <row r="142" spans="1:3">
      <c r="A142" s="94"/>
      <c r="B142" s="94"/>
      <c r="C142" s="94"/>
    </row>
    <row r="143" spans="1:3">
      <c r="A143" s="94"/>
      <c r="B143" s="94"/>
      <c r="C143" s="94"/>
    </row>
    <row r="144" spans="1:3">
      <c r="A144" s="94"/>
      <c r="B144" s="94"/>
      <c r="C144" s="94"/>
    </row>
    <row r="145" spans="1:3">
      <c r="A145" s="94"/>
      <c r="B145" s="94"/>
      <c r="C145" s="94"/>
    </row>
    <row r="146" spans="1:3">
      <c r="A146" s="94"/>
      <c r="B146" s="94"/>
      <c r="C146" s="94"/>
    </row>
    <row r="147" spans="1:3">
      <c r="A147" s="94"/>
      <c r="B147" s="94"/>
      <c r="C147" s="94"/>
    </row>
    <row r="148" spans="1:3">
      <c r="A148" s="94"/>
      <c r="B148" s="94"/>
      <c r="C148" s="94"/>
    </row>
    <row r="149" spans="1:3">
      <c r="A149" s="94"/>
      <c r="B149" s="94"/>
      <c r="C149" s="94"/>
    </row>
    <row r="150" spans="1:3">
      <c r="A150" s="94"/>
      <c r="B150" s="94"/>
      <c r="C150" s="94"/>
    </row>
    <row r="151" spans="1:3">
      <c r="A151" s="94"/>
      <c r="B151" s="94"/>
      <c r="C151" s="94"/>
    </row>
    <row r="152" spans="1:3">
      <c r="A152" s="94"/>
      <c r="B152" s="94"/>
      <c r="C152" s="94"/>
    </row>
    <row r="153" spans="1:3">
      <c r="A153" s="94"/>
      <c r="B153" s="94"/>
      <c r="C153" s="94"/>
    </row>
    <row r="154" spans="1:3">
      <c r="A154" s="94"/>
      <c r="B154" s="94"/>
      <c r="C154" s="94"/>
    </row>
    <row r="155" spans="1:3">
      <c r="A155" s="94"/>
      <c r="B155" s="94"/>
      <c r="C155" s="94"/>
    </row>
    <row r="156" spans="1:3">
      <c r="A156" s="94"/>
      <c r="B156" s="94"/>
      <c r="C156" s="94"/>
    </row>
    <row r="157" spans="1:3">
      <c r="A157" s="94"/>
      <c r="B157" s="94"/>
      <c r="C157" s="94"/>
    </row>
    <row r="158" spans="1:3">
      <c r="A158" s="94"/>
      <c r="B158" s="94"/>
      <c r="C158" s="94"/>
    </row>
    <row r="159" spans="1:3">
      <c r="A159" s="94"/>
      <c r="B159" s="94"/>
      <c r="C159" s="94"/>
    </row>
    <row r="160" spans="1:3">
      <c r="A160" s="94"/>
      <c r="B160" s="94"/>
      <c r="C160" s="94"/>
    </row>
    <row r="161" spans="1:3">
      <c r="A161" s="94"/>
      <c r="B161" s="94"/>
      <c r="C161" s="94"/>
    </row>
    <row r="162" spans="1:3">
      <c r="A162" s="94"/>
      <c r="B162" s="94"/>
      <c r="C162" s="94"/>
    </row>
    <row r="163" spans="1:3">
      <c r="A163" s="94"/>
      <c r="B163" s="94"/>
      <c r="C163" s="94"/>
    </row>
    <row r="164" spans="1:3">
      <c r="A164" s="94"/>
      <c r="B164" s="94"/>
      <c r="C164" s="94"/>
    </row>
    <row r="165" spans="1:3">
      <c r="A165" s="94"/>
      <c r="B165" s="94"/>
      <c r="C165" s="94"/>
    </row>
    <row r="166" spans="1:3">
      <c r="A166" s="94"/>
      <c r="B166" s="94"/>
      <c r="C166" s="94"/>
    </row>
    <row r="167" spans="1:3">
      <c r="A167" s="94"/>
      <c r="B167" s="94"/>
      <c r="C167" s="94"/>
    </row>
    <row r="168" spans="1:3">
      <c r="A168" s="94"/>
      <c r="B168" s="94"/>
      <c r="C168" s="94"/>
    </row>
    <row r="169" spans="1:3">
      <c r="A169" s="94"/>
      <c r="B169" s="94"/>
      <c r="C169" s="94"/>
    </row>
    <row r="170" spans="1:3">
      <c r="A170" s="94"/>
      <c r="B170" s="94"/>
      <c r="C170" s="94"/>
    </row>
    <row r="171" spans="1:3">
      <c r="A171" s="94"/>
      <c r="B171" s="94"/>
      <c r="C171" s="94"/>
    </row>
    <row r="172" spans="1:3">
      <c r="A172" s="94"/>
      <c r="B172" s="94"/>
      <c r="C172" s="94"/>
    </row>
    <row r="173" spans="1:3">
      <c r="A173" s="94"/>
      <c r="B173" s="94"/>
      <c r="C173" s="94"/>
    </row>
    <row r="174" spans="1:3">
      <c r="A174" s="94"/>
      <c r="B174" s="94"/>
      <c r="C174" s="94"/>
    </row>
    <row r="175" spans="1:3">
      <c r="A175" s="94"/>
      <c r="B175" s="94"/>
      <c r="C175" s="94"/>
    </row>
    <row r="176" spans="1:3">
      <c r="A176" s="94"/>
      <c r="B176" s="94"/>
      <c r="C176" s="94"/>
    </row>
    <row r="177" spans="1:3">
      <c r="A177" s="94"/>
      <c r="B177" s="94"/>
      <c r="C177" s="94"/>
    </row>
    <row r="178" spans="1:3">
      <c r="A178" s="94"/>
      <c r="B178" s="94"/>
      <c r="C178" s="94"/>
    </row>
    <row r="179" spans="1:3">
      <c r="A179" s="94"/>
      <c r="B179" s="94"/>
      <c r="C179" s="94"/>
    </row>
    <row r="180" spans="1:3">
      <c r="A180" s="94"/>
      <c r="B180" s="94"/>
      <c r="C180" s="94"/>
    </row>
    <row r="181" spans="1:3">
      <c r="A181" s="94"/>
      <c r="B181" s="94"/>
      <c r="C181" s="94"/>
    </row>
    <row r="182" spans="1:3">
      <c r="A182" s="94"/>
      <c r="B182" s="94"/>
      <c r="C182" s="94"/>
    </row>
    <row r="183" spans="1:3">
      <c r="A183" s="94"/>
      <c r="B183" s="94"/>
      <c r="C183" s="94"/>
    </row>
    <row r="184" spans="1:3">
      <c r="A184" s="94"/>
      <c r="B184" s="94"/>
      <c r="C184" s="94"/>
    </row>
    <row r="185" spans="1:3">
      <c r="A185" s="94"/>
      <c r="B185" s="94"/>
      <c r="C185" s="94"/>
    </row>
    <row r="186" spans="1:3">
      <c r="A186" s="94"/>
      <c r="B186" s="94"/>
      <c r="C186" s="94"/>
    </row>
    <row r="187" spans="1:3">
      <c r="A187" s="94"/>
      <c r="B187" s="94"/>
      <c r="C187" s="94"/>
    </row>
    <row r="188" spans="1:3">
      <c r="A188" s="94"/>
      <c r="B188" s="94"/>
      <c r="C188" s="94"/>
    </row>
    <row r="189" spans="1:3">
      <c r="A189" s="94"/>
      <c r="B189" s="94"/>
      <c r="C189" s="94"/>
    </row>
    <row r="190" spans="1:3">
      <c r="A190" s="94"/>
      <c r="B190" s="94"/>
      <c r="C190" s="94"/>
    </row>
    <row r="191" spans="1:3">
      <c r="A191" s="94"/>
      <c r="B191" s="94"/>
      <c r="C191" s="94"/>
    </row>
    <row r="192" spans="1:3">
      <c r="A192" s="94"/>
      <c r="B192" s="94"/>
      <c r="C192" s="94"/>
    </row>
    <row r="193" spans="1:3">
      <c r="A193" s="94"/>
      <c r="B193" s="94"/>
      <c r="C193" s="94"/>
    </row>
    <row r="194" spans="1:3">
      <c r="A194" s="94"/>
      <c r="B194" s="94"/>
      <c r="C194" s="94"/>
    </row>
    <row r="195" spans="1:3">
      <c r="A195" s="94"/>
      <c r="B195" s="94"/>
      <c r="C195" s="94"/>
    </row>
    <row r="196" spans="1:3">
      <c r="A196" s="94"/>
      <c r="B196" s="94"/>
      <c r="C196" s="94"/>
    </row>
    <row r="197" spans="1:3">
      <c r="A197" s="94"/>
      <c r="B197" s="94"/>
      <c r="C197" s="94"/>
    </row>
    <row r="198" spans="1:3">
      <c r="A198" s="94"/>
      <c r="B198" s="94"/>
      <c r="C198" s="94"/>
    </row>
    <row r="199" spans="1:3">
      <c r="A199" s="94"/>
      <c r="B199" s="94"/>
      <c r="C199" s="94"/>
    </row>
    <row r="200" spans="1:3">
      <c r="A200" s="94"/>
      <c r="B200" s="94"/>
      <c r="C200" s="94"/>
    </row>
    <row r="201" spans="1:3">
      <c r="A201" s="94"/>
      <c r="B201" s="94"/>
      <c r="C201" s="94"/>
    </row>
    <row r="202" spans="1:3">
      <c r="A202" s="94"/>
      <c r="B202" s="94"/>
      <c r="C202" s="94"/>
    </row>
    <row r="203" spans="1:3">
      <c r="A203" s="94"/>
      <c r="B203" s="94"/>
      <c r="C203" s="94"/>
    </row>
    <row r="204" spans="1:3">
      <c r="A204" s="94"/>
      <c r="B204" s="94"/>
      <c r="C204" s="94"/>
    </row>
    <row r="205" spans="1:3">
      <c r="A205" s="94"/>
      <c r="B205" s="94"/>
      <c r="C205" s="94"/>
    </row>
    <row r="206" spans="1:3">
      <c r="A206" s="94"/>
      <c r="B206" s="94"/>
      <c r="C206" s="94"/>
    </row>
    <row r="207" spans="1:3">
      <c r="A207" s="94"/>
      <c r="B207" s="94"/>
      <c r="C207" s="94"/>
    </row>
    <row r="208" spans="1:3">
      <c r="A208" s="94"/>
      <c r="B208" s="94"/>
      <c r="C208" s="94"/>
    </row>
    <row r="209" spans="1:3">
      <c r="A209" s="94"/>
      <c r="B209" s="94"/>
      <c r="C209" s="94"/>
    </row>
    <row r="210" spans="1:3">
      <c r="A210" s="94"/>
      <c r="B210" s="94"/>
      <c r="C210" s="94"/>
    </row>
    <row r="211" spans="1:3">
      <c r="A211" s="94"/>
      <c r="B211" s="94"/>
      <c r="C211" s="94"/>
    </row>
    <row r="212" spans="1:3">
      <c r="A212" s="94"/>
      <c r="B212" s="94"/>
      <c r="C212" s="94"/>
    </row>
    <row r="213" spans="1:3">
      <c r="A213" s="94"/>
      <c r="B213" s="94"/>
      <c r="C213" s="94"/>
    </row>
    <row r="214" spans="1:3">
      <c r="A214" s="94"/>
      <c r="B214" s="94"/>
      <c r="C214" s="94"/>
    </row>
    <row r="215" spans="1:3">
      <c r="A215" s="94"/>
      <c r="B215" s="94"/>
      <c r="C215" s="94"/>
    </row>
    <row r="216" spans="1:3">
      <c r="A216" s="94"/>
      <c r="B216" s="94"/>
      <c r="C216" s="94"/>
    </row>
    <row r="217" spans="1:3">
      <c r="A217" s="94"/>
      <c r="B217" s="94"/>
      <c r="C217" s="94"/>
    </row>
    <row r="218" spans="1:3">
      <c r="A218" s="94"/>
      <c r="B218" s="94"/>
      <c r="C218" s="94"/>
    </row>
    <row r="219" spans="1:3">
      <c r="A219" s="94"/>
      <c r="B219" s="94"/>
      <c r="C219" s="94"/>
    </row>
    <row r="220" spans="1:3">
      <c r="A220" s="94"/>
      <c r="B220" s="94"/>
      <c r="C220" s="94"/>
    </row>
    <row r="221" spans="1:3">
      <c r="A221" s="94"/>
      <c r="B221" s="94"/>
      <c r="C221" s="94"/>
    </row>
    <row r="222" spans="1:3">
      <c r="A222" s="94"/>
      <c r="B222" s="94"/>
      <c r="C222" s="94"/>
    </row>
    <row r="223" spans="1:3">
      <c r="A223" s="94"/>
      <c r="B223" s="94"/>
      <c r="C223" s="94"/>
    </row>
    <row r="224" spans="1:3">
      <c r="A224" s="94"/>
      <c r="B224" s="94"/>
      <c r="C224" s="94"/>
    </row>
    <row r="225" spans="1:3">
      <c r="A225" s="94"/>
      <c r="B225" s="94"/>
      <c r="C225" s="94"/>
    </row>
    <row r="226" spans="1:3">
      <c r="A226" s="94"/>
      <c r="B226" s="94"/>
      <c r="C226" s="94"/>
    </row>
    <row r="227" spans="1:3">
      <c r="A227" s="94"/>
      <c r="B227" s="94"/>
      <c r="C227" s="94"/>
    </row>
    <row r="228" spans="1:3">
      <c r="A228" s="94"/>
      <c r="B228" s="94"/>
      <c r="C228" s="94"/>
    </row>
    <row r="229" spans="1:3">
      <c r="A229" s="94"/>
      <c r="B229" s="94"/>
      <c r="C229" s="94"/>
    </row>
    <row r="230" spans="1:3">
      <c r="A230" s="94"/>
      <c r="B230" s="94"/>
      <c r="C230" s="94"/>
    </row>
    <row r="231" spans="1:3">
      <c r="A231" s="94"/>
      <c r="B231" s="94"/>
      <c r="C231" s="94"/>
    </row>
    <row r="232" spans="1:3">
      <c r="A232" s="94"/>
      <c r="B232" s="94"/>
      <c r="C232" s="94"/>
    </row>
    <row r="233" spans="1:3">
      <c r="A233" s="94"/>
      <c r="B233" s="94"/>
      <c r="C233" s="94"/>
    </row>
    <row r="234" spans="1:3">
      <c r="A234" s="94"/>
      <c r="B234" s="94"/>
      <c r="C234" s="94"/>
    </row>
    <row r="235" spans="1:3">
      <c r="A235" s="94"/>
      <c r="B235" s="94"/>
      <c r="C235" s="94"/>
    </row>
    <row r="236" spans="1:3">
      <c r="A236" s="94"/>
      <c r="B236" s="94"/>
      <c r="C236" s="94"/>
    </row>
    <row r="237" spans="1:3">
      <c r="A237" s="94"/>
      <c r="B237" s="94"/>
      <c r="C237" s="94"/>
    </row>
    <row r="238" spans="1:3">
      <c r="A238" s="94"/>
      <c r="B238" s="94"/>
      <c r="C238" s="94"/>
    </row>
    <row r="239" spans="1:3">
      <c r="A239" s="94"/>
      <c r="B239" s="94"/>
      <c r="C239" s="94"/>
    </row>
    <row r="240" spans="1:3">
      <c r="A240" s="94"/>
      <c r="B240" s="94"/>
      <c r="C240" s="94"/>
    </row>
    <row r="241" spans="1:3">
      <c r="A241" s="94"/>
      <c r="B241" s="94"/>
      <c r="C241" s="94"/>
    </row>
    <row r="242" spans="1:3"/>
    <row r="243" spans="1:3"/>
    <row r="244" spans="1:3"/>
    <row r="245" spans="1:3"/>
    <row r="246" spans="1:3"/>
    <row r="247" spans="1:3"/>
    <row r="248" spans="1:3"/>
    <row r="249" spans="1:3"/>
    <row r="250" spans="1:3"/>
    <row r="251" spans="1:3"/>
    <row r="252" spans="1:3"/>
    <row r="253" spans="1:3"/>
    <row r="254" spans="1:3"/>
    <row r="255" spans="1:3"/>
    <row r="256" spans="1:3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7">
      <c r="A1" s="1" t="s">
        <v>48</v>
      </c>
      <c r="B1" s="1" t="s">
        <v>49</v>
      </c>
      <c r="C1" s="1"/>
      <c r="D1" s="1"/>
    </row>
    <row r="2" spans="1:7">
      <c r="A2" s="1" t="s">
        <v>51</v>
      </c>
      <c r="B2" s="1">
        <v>156</v>
      </c>
      <c r="C2" s="1"/>
      <c r="D2" s="106" t="s">
        <v>49</v>
      </c>
      <c r="E2" s="107" t="s">
        <v>170</v>
      </c>
      <c r="F2" s="1" t="s">
        <v>171</v>
      </c>
      <c r="G2" s="1" t="s">
        <v>172</v>
      </c>
    </row>
    <row r="3" spans="1:7">
      <c r="A3" s="1" t="s">
        <v>53</v>
      </c>
      <c r="B3" s="1">
        <v>145</v>
      </c>
      <c r="C3" s="1"/>
      <c r="D3" s="108" t="s">
        <v>211</v>
      </c>
      <c r="E3" s="114">
        <v>0</v>
      </c>
      <c r="F3" s="1">
        <f>F4-50</f>
        <v>99.5</v>
      </c>
      <c r="G3" s="1">
        <v>0</v>
      </c>
    </row>
    <row r="4" spans="1:7">
      <c r="A4" s="1" t="s">
        <v>55</v>
      </c>
      <c r="B4" s="1">
        <v>187</v>
      </c>
      <c r="C4" s="1"/>
      <c r="D4" s="110" t="s">
        <v>212</v>
      </c>
      <c r="E4" s="115">
        <v>0.1951219512195122</v>
      </c>
      <c r="F4" s="1">
        <f>(199+100)/2</f>
        <v>149.5</v>
      </c>
      <c r="G4" s="19">
        <f t="shared" ref="G4:G10" si="0">E3</f>
        <v>0</v>
      </c>
    </row>
    <row r="5" spans="1:7">
      <c r="A5" s="1" t="s">
        <v>57</v>
      </c>
      <c r="B5" s="1">
        <v>135</v>
      </c>
      <c r="D5" s="110" t="s">
        <v>213</v>
      </c>
      <c r="E5" s="115">
        <v>0.36585365853658536</v>
      </c>
      <c r="F5" s="1">
        <f t="shared" ref="F5:F10" si="1">F4+100</f>
        <v>249.5</v>
      </c>
      <c r="G5" s="19">
        <f t="shared" si="0"/>
        <v>0.1951219512195122</v>
      </c>
    </row>
    <row r="6" spans="1:7">
      <c r="A6" s="1" t="s">
        <v>59</v>
      </c>
      <c r="B6" s="1">
        <v>151</v>
      </c>
      <c r="D6" s="110" t="s">
        <v>214</v>
      </c>
      <c r="E6" s="115">
        <v>0.21951219512195122</v>
      </c>
      <c r="F6" s="1">
        <f t="shared" si="1"/>
        <v>349.5</v>
      </c>
      <c r="G6" s="19">
        <f t="shared" si="0"/>
        <v>0.36585365853658536</v>
      </c>
    </row>
    <row r="7" spans="1:7">
      <c r="A7" s="1" t="s">
        <v>61</v>
      </c>
      <c r="B7" s="1">
        <v>136</v>
      </c>
      <c r="D7" s="110" t="s">
        <v>215</v>
      </c>
      <c r="E7" s="115">
        <v>0.12195121951219512</v>
      </c>
      <c r="F7" s="1">
        <f t="shared" si="1"/>
        <v>449.5</v>
      </c>
      <c r="G7" s="19">
        <f t="shared" si="0"/>
        <v>0.21951219512195122</v>
      </c>
    </row>
    <row r="8" spans="1:7">
      <c r="A8" s="1" t="s">
        <v>62</v>
      </c>
      <c r="B8" s="1">
        <v>141</v>
      </c>
      <c r="D8" s="110" t="s">
        <v>216</v>
      </c>
      <c r="E8" s="115">
        <v>7.3170731707317069E-2</v>
      </c>
      <c r="F8" s="1">
        <f t="shared" si="1"/>
        <v>549.5</v>
      </c>
      <c r="G8" s="19">
        <f t="shared" si="0"/>
        <v>0.12195121951219512</v>
      </c>
    </row>
    <row r="9" spans="1:7">
      <c r="A9" s="1" t="s">
        <v>64</v>
      </c>
      <c r="B9" s="1">
        <v>167</v>
      </c>
      <c r="D9" s="110" t="s">
        <v>217</v>
      </c>
      <c r="E9" s="115">
        <v>2.4390243902439025E-2</v>
      </c>
      <c r="F9" s="1">
        <f t="shared" si="1"/>
        <v>649.5</v>
      </c>
      <c r="G9" s="19">
        <f t="shared" si="0"/>
        <v>7.3170731707317069E-2</v>
      </c>
    </row>
    <row r="10" spans="1:7">
      <c r="A10" s="1" t="s">
        <v>65</v>
      </c>
      <c r="B10" s="1">
        <v>221</v>
      </c>
      <c r="D10" s="112" t="s">
        <v>63</v>
      </c>
      <c r="E10" s="116">
        <v>1</v>
      </c>
      <c r="F10" s="1">
        <f t="shared" si="1"/>
        <v>749.5</v>
      </c>
      <c r="G10" s="19">
        <f t="shared" si="0"/>
        <v>2.4390243902439025E-2</v>
      </c>
    </row>
    <row r="11" spans="1:7">
      <c r="A11" s="1" t="s">
        <v>66</v>
      </c>
      <c r="B11" s="1">
        <v>276</v>
      </c>
    </row>
    <row r="12" spans="1:7">
      <c r="A12" s="1" t="s">
        <v>67</v>
      </c>
      <c r="B12" s="1">
        <v>209</v>
      </c>
    </row>
    <row r="13" spans="1:7">
      <c r="A13" s="1" t="s">
        <v>68</v>
      </c>
      <c r="B13" s="1">
        <v>297</v>
      </c>
    </row>
    <row r="14" spans="1:7">
      <c r="A14" s="1" t="s">
        <v>69</v>
      </c>
      <c r="B14" s="1">
        <v>300</v>
      </c>
    </row>
    <row r="15" spans="1:7">
      <c r="A15" s="1" t="s">
        <v>70</v>
      </c>
      <c r="B15" s="1">
        <v>232</v>
      </c>
    </row>
    <row r="16" spans="1:7">
      <c r="A16" s="1" t="s">
        <v>71</v>
      </c>
      <c r="B16" s="1">
        <v>246</v>
      </c>
    </row>
    <row r="17" spans="1:2">
      <c r="A17" s="1" t="s">
        <v>72</v>
      </c>
      <c r="B17" s="1">
        <v>296</v>
      </c>
    </row>
    <row r="18" spans="1:2">
      <c r="A18" s="1" t="s">
        <v>73</v>
      </c>
      <c r="B18" s="1">
        <v>240</v>
      </c>
    </row>
    <row r="19" spans="1:2">
      <c r="A19" s="1" t="s">
        <v>74</v>
      </c>
      <c r="B19" s="1">
        <v>252</v>
      </c>
    </row>
    <row r="20" spans="1:2">
      <c r="A20" s="1" t="s">
        <v>75</v>
      </c>
      <c r="B20" s="1">
        <v>248</v>
      </c>
    </row>
    <row r="21" spans="1:2">
      <c r="A21" s="1" t="s">
        <v>76</v>
      </c>
      <c r="B21" s="1">
        <v>226</v>
      </c>
    </row>
    <row r="22" spans="1:2">
      <c r="A22" s="1" t="s">
        <v>77</v>
      </c>
      <c r="B22" s="1">
        <v>251</v>
      </c>
    </row>
    <row r="23" spans="1:2">
      <c r="A23" s="1" t="s">
        <v>78</v>
      </c>
      <c r="B23" s="1">
        <v>227</v>
      </c>
    </row>
    <row r="24" spans="1:2">
      <c r="A24" s="1" t="s">
        <v>79</v>
      </c>
      <c r="B24" s="1">
        <v>277</v>
      </c>
    </row>
    <row r="25" spans="1:2">
      <c r="A25" s="1" t="s">
        <v>80</v>
      </c>
      <c r="B25" s="1">
        <v>220</v>
      </c>
    </row>
    <row r="26" spans="1:2">
      <c r="A26" s="1" t="s">
        <v>81</v>
      </c>
      <c r="B26" s="1">
        <v>341</v>
      </c>
    </row>
    <row r="27" spans="1:2">
      <c r="A27" s="1" t="s">
        <v>82</v>
      </c>
      <c r="B27" s="1">
        <v>388</v>
      </c>
    </row>
    <row r="28" spans="1:2">
      <c r="A28" s="1" t="s">
        <v>83</v>
      </c>
      <c r="B28" s="1">
        <v>391</v>
      </c>
    </row>
    <row r="29" spans="1:2">
      <c r="A29" s="1" t="s">
        <v>84</v>
      </c>
      <c r="B29" s="1">
        <v>336</v>
      </c>
    </row>
    <row r="30" spans="1:2">
      <c r="A30" s="1" t="s">
        <v>85</v>
      </c>
      <c r="B30" s="1">
        <v>378</v>
      </c>
    </row>
    <row r="31" spans="1:2">
      <c r="A31" s="1" t="s">
        <v>86</v>
      </c>
      <c r="B31" s="1">
        <v>347</v>
      </c>
    </row>
    <row r="32" spans="1:2">
      <c r="A32" s="1" t="s">
        <v>87</v>
      </c>
      <c r="B32" s="1">
        <v>303</v>
      </c>
    </row>
    <row r="33" spans="1:4">
      <c r="A33" s="1" t="s">
        <v>88</v>
      </c>
      <c r="B33" s="1">
        <v>303</v>
      </c>
    </row>
    <row r="34" spans="1:4">
      <c r="A34" s="1" t="s">
        <v>89</v>
      </c>
      <c r="B34" s="1">
        <v>448</v>
      </c>
    </row>
    <row r="35" spans="1:4">
      <c r="A35" s="1" t="s">
        <v>90</v>
      </c>
      <c r="B35" s="1">
        <v>431</v>
      </c>
    </row>
    <row r="36" spans="1:4">
      <c r="A36" s="1" t="s">
        <v>91</v>
      </c>
      <c r="B36" s="1">
        <v>483</v>
      </c>
    </row>
    <row r="37" spans="1:4">
      <c r="A37" s="1" t="s">
        <v>92</v>
      </c>
      <c r="B37" s="1">
        <v>419</v>
      </c>
    </row>
    <row r="38" spans="1:4">
      <c r="A38" s="1" t="s">
        <v>93</v>
      </c>
      <c r="B38" s="1">
        <v>487</v>
      </c>
    </row>
    <row r="39" spans="1:4">
      <c r="A39" s="1" t="s">
        <v>94</v>
      </c>
      <c r="B39" s="1">
        <v>594</v>
      </c>
    </row>
    <row r="40" spans="1:4">
      <c r="A40" s="1" t="s">
        <v>95</v>
      </c>
      <c r="B40" s="1">
        <v>532</v>
      </c>
    </row>
    <row r="41" spans="1:4">
      <c r="A41" s="1" t="s">
        <v>96</v>
      </c>
      <c r="B41" s="1">
        <v>517</v>
      </c>
      <c r="D41" s="1"/>
    </row>
    <row r="42" spans="1:4">
      <c r="A42" s="1" t="s">
        <v>97</v>
      </c>
      <c r="B42" s="1">
        <v>628</v>
      </c>
      <c r="D42" s="1"/>
    </row>
    <row r="43" spans="1:4">
      <c r="A43" s="1" t="s">
        <v>173</v>
      </c>
      <c r="D43" s="1"/>
    </row>
    <row r="44" spans="1:4">
      <c r="A44" s="1" t="s">
        <v>174</v>
      </c>
      <c r="D44" s="1"/>
    </row>
    <row r="45" spans="1:4">
      <c r="A45" s="1" t="s">
        <v>175</v>
      </c>
      <c r="D45" s="1"/>
    </row>
    <row r="46" spans="1:4">
      <c r="A46" s="1" t="s">
        <v>176</v>
      </c>
      <c r="D46" s="1"/>
    </row>
    <row r="47" spans="1:4"/>
    <row r="48" spans="1: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L1000"/>
  <sheetViews>
    <sheetView workbookViewId="0"/>
  </sheetViews>
  <sheetFormatPr defaultColWidth="12.6640625" defaultRowHeight="15.75" customHeight="1"/>
  <cols>
    <col min="1" max="4" width="12.6640625" customWidth="1"/>
    <col min="5" max="5" width="23.77734375" customWidth="1"/>
    <col min="6" max="6" width="12.6640625" customWidth="1"/>
    <col min="9" max="9" width="21" customWidth="1"/>
  </cols>
  <sheetData>
    <row r="1" spans="1:12">
      <c r="A1" s="1" t="s">
        <v>48</v>
      </c>
      <c r="B1" s="1" t="s">
        <v>49</v>
      </c>
      <c r="C1" s="1"/>
      <c r="D1" s="1"/>
    </row>
    <row r="2" spans="1:12">
      <c r="A2" s="1" t="s">
        <v>51</v>
      </c>
      <c r="B2" s="1">
        <v>156</v>
      </c>
      <c r="C2" s="1"/>
      <c r="D2" s="106" t="s">
        <v>177</v>
      </c>
      <c r="E2" s="107" t="s">
        <v>178</v>
      </c>
      <c r="H2" s="106" t="s">
        <v>179</v>
      </c>
      <c r="I2" s="107" t="s">
        <v>180</v>
      </c>
    </row>
    <row r="3" spans="1:12">
      <c r="A3" s="1" t="s">
        <v>53</v>
      </c>
      <c r="B3" s="1">
        <v>145</v>
      </c>
      <c r="C3" s="1"/>
      <c r="D3" s="108">
        <v>0</v>
      </c>
      <c r="E3" s="109">
        <v>0</v>
      </c>
      <c r="H3" s="108" t="s">
        <v>52</v>
      </c>
      <c r="I3" s="109">
        <v>0.1951219512195122</v>
      </c>
      <c r="L3" s="89"/>
    </row>
    <row r="4" spans="1:12">
      <c r="A4" s="1" t="s">
        <v>55</v>
      </c>
      <c r="B4" s="1">
        <v>187</v>
      </c>
      <c r="C4" s="1"/>
      <c r="D4" s="110">
        <v>99</v>
      </c>
      <c r="E4" s="111">
        <v>0</v>
      </c>
      <c r="H4" s="110" t="s">
        <v>54</v>
      </c>
      <c r="I4" s="111">
        <v>0.36585365853658536</v>
      </c>
      <c r="L4" s="89"/>
    </row>
    <row r="5" spans="1:12">
      <c r="A5" s="1" t="s">
        <v>57</v>
      </c>
      <c r="B5" s="1">
        <v>135</v>
      </c>
      <c r="C5" s="1"/>
      <c r="D5" s="110">
        <v>199</v>
      </c>
      <c r="E5" s="111">
        <v>0.1951219512195122</v>
      </c>
      <c r="H5" s="110" t="s">
        <v>56</v>
      </c>
      <c r="I5" s="111">
        <v>0.21951219512195122</v>
      </c>
      <c r="L5" s="89"/>
    </row>
    <row r="6" spans="1:12">
      <c r="A6" s="1" t="s">
        <v>59</v>
      </c>
      <c r="B6" s="1">
        <v>151</v>
      </c>
      <c r="C6" s="1"/>
      <c r="D6" s="110">
        <v>299</v>
      </c>
      <c r="E6" s="111">
        <v>0.56097560975609762</v>
      </c>
      <c r="H6" s="110" t="s">
        <v>58</v>
      </c>
      <c r="I6" s="111">
        <v>0.12195121951219512</v>
      </c>
      <c r="L6" s="89"/>
    </row>
    <row r="7" spans="1:12">
      <c r="A7" s="1" t="s">
        <v>61</v>
      </c>
      <c r="B7" s="1">
        <v>136</v>
      </c>
      <c r="C7" s="1"/>
      <c r="D7" s="110">
        <v>399</v>
      </c>
      <c r="E7" s="111">
        <v>0.78048780487804881</v>
      </c>
      <c r="H7" s="110" t="s">
        <v>60</v>
      </c>
      <c r="I7" s="111">
        <v>7.3170731707317069E-2</v>
      </c>
      <c r="L7" s="89"/>
    </row>
    <row r="8" spans="1:12">
      <c r="A8" s="1" t="s">
        <v>62</v>
      </c>
      <c r="B8" s="1">
        <v>141</v>
      </c>
      <c r="C8" s="1"/>
      <c r="D8" s="110">
        <v>499</v>
      </c>
      <c r="E8" s="111">
        <v>0.90243902439024393</v>
      </c>
      <c r="H8" s="110" t="s">
        <v>181</v>
      </c>
      <c r="I8" s="111">
        <v>2.4390243902439025E-2</v>
      </c>
      <c r="L8" s="89"/>
    </row>
    <row r="9" spans="1:12">
      <c r="A9" s="1" t="s">
        <v>64</v>
      </c>
      <c r="B9" s="1">
        <v>167</v>
      </c>
      <c r="C9" s="1"/>
      <c r="D9" s="110">
        <v>599</v>
      </c>
      <c r="E9" s="111">
        <v>0.97560975609756095</v>
      </c>
      <c r="H9" s="112" t="s">
        <v>63</v>
      </c>
      <c r="I9" s="113">
        <v>1</v>
      </c>
      <c r="L9" s="89"/>
    </row>
    <row r="10" spans="1:12">
      <c r="A10" s="1" t="s">
        <v>65</v>
      </c>
      <c r="B10" s="1">
        <v>221</v>
      </c>
      <c r="C10" s="1"/>
      <c r="D10" s="110">
        <v>699</v>
      </c>
      <c r="E10" s="111">
        <v>1</v>
      </c>
      <c r="H10" s="1" t="s">
        <v>179</v>
      </c>
      <c r="I10" s="19" t="s">
        <v>182</v>
      </c>
      <c r="L10" s="89"/>
    </row>
    <row r="11" spans="1:12">
      <c r="A11" s="1" t="s">
        <v>66</v>
      </c>
      <c r="B11" s="1">
        <v>276</v>
      </c>
      <c r="C11" s="1"/>
      <c r="D11" s="112" t="s">
        <v>63</v>
      </c>
      <c r="E11" s="113">
        <v>0.55182926829268286</v>
      </c>
      <c r="H11" s="1" t="s">
        <v>52</v>
      </c>
      <c r="I11" s="19">
        <v>0.1951219512195122</v>
      </c>
    </row>
    <row r="12" spans="1:12">
      <c r="A12" s="1" t="s">
        <v>67</v>
      </c>
      <c r="B12" s="1">
        <v>209</v>
      </c>
      <c r="C12" s="1"/>
      <c r="D12" s="1" t="s">
        <v>177</v>
      </c>
      <c r="E12" s="1" t="s">
        <v>183</v>
      </c>
      <c r="H12" s="1" t="s">
        <v>54</v>
      </c>
      <c r="I12" s="19">
        <v>0.36585365853658536</v>
      </c>
    </row>
    <row r="13" spans="1:12">
      <c r="A13" s="1" t="s">
        <v>68</v>
      </c>
      <c r="B13" s="1">
        <v>297</v>
      </c>
      <c r="C13" s="1"/>
      <c r="D13" s="1">
        <v>0</v>
      </c>
      <c r="E13" s="1">
        <v>0</v>
      </c>
      <c r="H13" s="1" t="s">
        <v>56</v>
      </c>
      <c r="I13" s="19">
        <v>0.21951219512195122</v>
      </c>
    </row>
    <row r="14" spans="1:12">
      <c r="A14" s="1" t="s">
        <v>69</v>
      </c>
      <c r="B14" s="1">
        <v>300</v>
      </c>
      <c r="C14" s="1"/>
      <c r="D14" s="1">
        <v>99</v>
      </c>
      <c r="E14" s="1">
        <v>0</v>
      </c>
      <c r="H14" s="1" t="s">
        <v>58</v>
      </c>
      <c r="I14" s="19">
        <v>0.12195121951219512</v>
      </c>
    </row>
    <row r="15" spans="1:12">
      <c r="A15" s="1" t="s">
        <v>70</v>
      </c>
      <c r="B15" s="1">
        <v>232</v>
      </c>
      <c r="D15" s="1">
        <f t="shared" ref="D15:D20" si="0">D14+100</f>
        <v>199</v>
      </c>
      <c r="E15" s="19">
        <f>I11</f>
        <v>0.1951219512195122</v>
      </c>
      <c r="H15" s="1" t="s">
        <v>60</v>
      </c>
      <c r="I15" s="19">
        <v>7.3170731707317069E-2</v>
      </c>
    </row>
    <row r="16" spans="1:12">
      <c r="A16" s="1" t="s">
        <v>71</v>
      </c>
      <c r="B16" s="1">
        <v>246</v>
      </c>
      <c r="D16" s="1">
        <f t="shared" si="0"/>
        <v>299</v>
      </c>
      <c r="E16" s="19">
        <f t="shared" ref="E16:E20" si="1">I12+E15</f>
        <v>0.56097560975609762</v>
      </c>
      <c r="H16" s="1" t="s">
        <v>181</v>
      </c>
      <c r="I16" s="19">
        <v>2.4390243902439025E-2</v>
      </c>
    </row>
    <row r="17" spans="1:9">
      <c r="A17" s="1" t="s">
        <v>72</v>
      </c>
      <c r="B17" s="1">
        <v>296</v>
      </c>
      <c r="D17" s="1">
        <f t="shared" si="0"/>
        <v>399</v>
      </c>
      <c r="E17" s="19">
        <f t="shared" si="1"/>
        <v>0.78048780487804881</v>
      </c>
      <c r="H17" s="1"/>
      <c r="I17" s="19"/>
    </row>
    <row r="18" spans="1:9">
      <c r="A18" s="1" t="s">
        <v>73</v>
      </c>
      <c r="B18" s="1">
        <v>240</v>
      </c>
      <c r="D18" s="1">
        <f t="shared" si="0"/>
        <v>499</v>
      </c>
      <c r="E18" s="19">
        <f t="shared" si="1"/>
        <v>0.90243902439024393</v>
      </c>
      <c r="H18" s="1"/>
      <c r="I18" s="19"/>
    </row>
    <row r="19" spans="1:9">
      <c r="A19" s="1" t="s">
        <v>74</v>
      </c>
      <c r="B19" s="1">
        <v>252</v>
      </c>
      <c r="D19" s="1">
        <f t="shared" si="0"/>
        <v>599</v>
      </c>
      <c r="E19" s="19">
        <f t="shared" si="1"/>
        <v>0.97560975609756095</v>
      </c>
    </row>
    <row r="20" spans="1:9">
      <c r="A20" s="1" t="s">
        <v>75</v>
      </c>
      <c r="B20" s="1">
        <v>248</v>
      </c>
      <c r="D20" s="1">
        <f t="shared" si="0"/>
        <v>699</v>
      </c>
      <c r="E20" s="19">
        <f t="shared" si="1"/>
        <v>1</v>
      </c>
    </row>
    <row r="21" spans="1:9">
      <c r="A21" s="1" t="s">
        <v>76</v>
      </c>
      <c r="B21" s="1">
        <v>226</v>
      </c>
    </row>
    <row r="22" spans="1:9">
      <c r="A22" s="1" t="s">
        <v>77</v>
      </c>
      <c r="B22" s="1">
        <v>251</v>
      </c>
    </row>
    <row r="23" spans="1:9">
      <c r="A23" s="1" t="s">
        <v>78</v>
      </c>
      <c r="B23" s="1">
        <v>227</v>
      </c>
    </row>
    <row r="24" spans="1:9">
      <c r="A24" s="1" t="s">
        <v>79</v>
      </c>
      <c r="B24" s="1">
        <v>277</v>
      </c>
    </row>
    <row r="25" spans="1:9">
      <c r="A25" s="1" t="s">
        <v>80</v>
      </c>
      <c r="B25" s="1">
        <v>220</v>
      </c>
    </row>
    <row r="26" spans="1:9">
      <c r="A26" s="1" t="s">
        <v>81</v>
      </c>
      <c r="B26" s="1">
        <v>341</v>
      </c>
    </row>
    <row r="27" spans="1:9">
      <c r="A27" s="1" t="s">
        <v>82</v>
      </c>
      <c r="B27" s="1">
        <v>388</v>
      </c>
    </row>
    <row r="28" spans="1:9">
      <c r="A28" s="1" t="s">
        <v>83</v>
      </c>
      <c r="B28" s="1">
        <v>391</v>
      </c>
    </row>
    <row r="29" spans="1:9">
      <c r="A29" s="1" t="s">
        <v>84</v>
      </c>
      <c r="B29" s="1">
        <v>336</v>
      </c>
    </row>
    <row r="30" spans="1:9">
      <c r="A30" s="1" t="s">
        <v>85</v>
      </c>
      <c r="B30" s="1">
        <v>378</v>
      </c>
    </row>
    <row r="31" spans="1:9">
      <c r="A31" s="1" t="s">
        <v>86</v>
      </c>
      <c r="B31" s="1">
        <v>347</v>
      </c>
    </row>
    <row r="32" spans="1:9">
      <c r="A32" s="1" t="s">
        <v>87</v>
      </c>
      <c r="B32" s="1">
        <v>303</v>
      </c>
    </row>
    <row r="33" spans="1:9">
      <c r="A33" s="1" t="s">
        <v>88</v>
      </c>
      <c r="B33" s="1">
        <v>303</v>
      </c>
    </row>
    <row r="34" spans="1:9">
      <c r="A34" s="1" t="s">
        <v>89</v>
      </c>
      <c r="B34" s="1">
        <v>448</v>
      </c>
    </row>
    <row r="35" spans="1:9">
      <c r="A35" s="1" t="s">
        <v>90</v>
      </c>
      <c r="B35" s="1">
        <v>431</v>
      </c>
    </row>
    <row r="36" spans="1:9">
      <c r="A36" s="1" t="s">
        <v>91</v>
      </c>
      <c r="B36" s="1">
        <v>483</v>
      </c>
    </row>
    <row r="37" spans="1:9">
      <c r="A37" s="1" t="s">
        <v>92</v>
      </c>
      <c r="B37" s="1">
        <v>419</v>
      </c>
    </row>
    <row r="38" spans="1:9">
      <c r="A38" s="1" t="s">
        <v>93</v>
      </c>
      <c r="B38" s="1">
        <v>487</v>
      </c>
    </row>
    <row r="39" spans="1:9">
      <c r="A39" s="1" t="s">
        <v>94</v>
      </c>
      <c r="B39" s="1">
        <v>594</v>
      </c>
    </row>
    <row r="40" spans="1:9">
      <c r="A40" s="1" t="s">
        <v>95</v>
      </c>
      <c r="B40" s="1">
        <v>532</v>
      </c>
      <c r="D40" s="1"/>
    </row>
    <row r="41" spans="1:9">
      <c r="A41" s="1" t="s">
        <v>96</v>
      </c>
      <c r="B41" s="1">
        <v>517</v>
      </c>
      <c r="D41" s="1"/>
      <c r="I41" s="89"/>
    </row>
    <row r="42" spans="1:9">
      <c r="A42" s="1" t="s">
        <v>97</v>
      </c>
      <c r="B42" s="1">
        <v>628</v>
      </c>
      <c r="D42" s="1"/>
      <c r="I42" s="89"/>
    </row>
    <row r="43" spans="1:9">
      <c r="A43" s="1" t="s">
        <v>173</v>
      </c>
      <c r="D43" s="1"/>
      <c r="I43" s="89"/>
    </row>
    <row r="44" spans="1:9">
      <c r="A44" s="1" t="s">
        <v>174</v>
      </c>
      <c r="D44" s="1"/>
      <c r="I44" s="89"/>
    </row>
    <row r="45" spans="1:9">
      <c r="A45" s="1" t="s">
        <v>175</v>
      </c>
      <c r="D45" s="1"/>
      <c r="I45" s="89"/>
    </row>
    <row r="46" spans="1:9">
      <c r="A46" s="1" t="s">
        <v>176</v>
      </c>
      <c r="I46" s="89"/>
    </row>
    <row r="47" spans="1:9">
      <c r="I47" s="89"/>
    </row>
    <row r="48" spans="1:9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F1:V1000"/>
  <sheetViews>
    <sheetView workbookViewId="0"/>
  </sheetViews>
  <sheetFormatPr defaultColWidth="12.6640625" defaultRowHeight="15.75" customHeight="1"/>
  <cols>
    <col min="1" max="6" width="12.6640625" customWidth="1"/>
    <col min="8" max="22" width="2.21875" customWidth="1"/>
  </cols>
  <sheetData>
    <row r="1" spans="6:22">
      <c r="F1" s="1" t="s">
        <v>184</v>
      </c>
    </row>
    <row r="2" spans="6:22"/>
    <row r="3" spans="6:22">
      <c r="F3" s="1" t="s">
        <v>185</v>
      </c>
    </row>
    <row r="4" spans="6:22"/>
    <row r="5" spans="6:22">
      <c r="F5" s="1" t="s">
        <v>186</v>
      </c>
    </row>
    <row r="6" spans="6:22"/>
    <row r="7" spans="6:22">
      <c r="F7" s="1" t="s">
        <v>187</v>
      </c>
    </row>
    <row r="8" spans="6:22">
      <c r="F8" s="1" t="s">
        <v>188</v>
      </c>
    </row>
    <row r="9" spans="6:22">
      <c r="F9" s="1" t="s">
        <v>189</v>
      </c>
    </row>
    <row r="10" spans="6:22"/>
    <row r="11" spans="6:22">
      <c r="F11" s="1" t="s">
        <v>190</v>
      </c>
      <c r="H11" s="1" t="s">
        <v>191</v>
      </c>
    </row>
    <row r="12" spans="6:22">
      <c r="F12" s="1">
        <v>6</v>
      </c>
      <c r="H12" s="1" t="s">
        <v>192</v>
      </c>
    </row>
    <row r="13" spans="6:22">
      <c r="F13" s="1">
        <v>6</v>
      </c>
      <c r="H13" s="1">
        <v>0</v>
      </c>
      <c r="I13" s="1">
        <v>6</v>
      </c>
      <c r="J13" s="1">
        <v>6</v>
      </c>
      <c r="K13" s="1">
        <v>7</v>
      </c>
      <c r="L13" s="1">
        <v>7</v>
      </c>
      <c r="M13" s="1">
        <v>8</v>
      </c>
    </row>
    <row r="14" spans="6:22">
      <c r="F14" s="1">
        <v>7</v>
      </c>
      <c r="H14" s="1">
        <v>1</v>
      </c>
      <c r="I14" s="1">
        <v>0</v>
      </c>
      <c r="J14" s="1">
        <v>0</v>
      </c>
      <c r="K14" s="1">
        <v>0</v>
      </c>
      <c r="L14" s="1">
        <v>1</v>
      </c>
      <c r="M14" s="1">
        <v>1</v>
      </c>
      <c r="N14" s="1">
        <v>1</v>
      </c>
      <c r="O14" s="1">
        <v>2</v>
      </c>
      <c r="P14" s="1">
        <v>2</v>
      </c>
      <c r="Q14" s="1">
        <v>2</v>
      </c>
      <c r="R14" s="1">
        <v>3</v>
      </c>
      <c r="S14" s="1">
        <v>3</v>
      </c>
      <c r="T14" s="1">
        <v>3</v>
      </c>
      <c r="U14" s="1">
        <v>3</v>
      </c>
      <c r="V14" s="1">
        <v>5</v>
      </c>
    </row>
    <row r="15" spans="6:22">
      <c r="F15" s="1">
        <v>7</v>
      </c>
      <c r="H15" s="1">
        <v>2</v>
      </c>
      <c r="I15" s="1">
        <v>0</v>
      </c>
    </row>
    <row r="16" spans="6:22">
      <c r="F16" s="1">
        <v>8</v>
      </c>
    </row>
    <row r="17" spans="6:6">
      <c r="F17" s="1">
        <v>10</v>
      </c>
    </row>
    <row r="18" spans="6:6">
      <c r="F18" s="1">
        <v>10</v>
      </c>
    </row>
    <row r="19" spans="6:6">
      <c r="F19" s="1">
        <v>10</v>
      </c>
    </row>
    <row r="20" spans="6:6">
      <c r="F20" s="1">
        <v>11</v>
      </c>
    </row>
    <row r="21" spans="6:6">
      <c r="F21" s="1">
        <v>11</v>
      </c>
    </row>
    <row r="22" spans="6:6">
      <c r="F22" s="1">
        <v>11</v>
      </c>
    </row>
    <row r="23" spans="6:6">
      <c r="F23" s="1">
        <v>12</v>
      </c>
    </row>
    <row r="24" spans="6:6">
      <c r="F24" s="1">
        <v>12</v>
      </c>
    </row>
    <row r="25" spans="6:6">
      <c r="F25" s="1">
        <v>12</v>
      </c>
    </row>
    <row r="26" spans="6:6">
      <c r="F26" s="1">
        <v>13</v>
      </c>
    </row>
    <row r="27" spans="6:6">
      <c r="F27" s="1">
        <v>13</v>
      </c>
    </row>
    <row r="28" spans="6:6">
      <c r="F28" s="1">
        <v>13</v>
      </c>
    </row>
    <row r="29" spans="6:6">
      <c r="F29" s="1">
        <v>13</v>
      </c>
    </row>
    <row r="30" spans="6:6">
      <c r="F30" s="1">
        <v>15</v>
      </c>
    </row>
    <row r="31" spans="6:6">
      <c r="F31" s="1">
        <v>20</v>
      </c>
    </row>
    <row r="32" spans="6:6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1000"/>
  <sheetViews>
    <sheetView workbookViewId="0"/>
  </sheetViews>
  <sheetFormatPr defaultColWidth="12.6640625" defaultRowHeight="15.75" customHeight="1"/>
  <cols>
    <col min="1" max="6" width="12.6640625" customWidth="1"/>
  </cols>
  <sheetData>
    <row r="1" spans="1:7" ht="15.75" customHeight="1">
      <c r="A1" s="96" t="s">
        <v>193</v>
      </c>
      <c r="B1" s="1"/>
      <c r="C1" s="97" t="s">
        <v>194</v>
      </c>
      <c r="D1" s="96" t="s">
        <v>195</v>
      </c>
      <c r="E1" s="1"/>
      <c r="F1" s="1"/>
      <c r="G1" s="1"/>
    </row>
    <row r="2" spans="1:7">
      <c r="A2" s="98">
        <v>7</v>
      </c>
      <c r="B2" s="1"/>
      <c r="C2" s="99" t="s">
        <v>196</v>
      </c>
      <c r="D2" s="1"/>
      <c r="E2" s="1"/>
      <c r="F2" s="1"/>
      <c r="G2" s="1"/>
    </row>
    <row r="3" spans="1:7">
      <c r="A3" s="98">
        <v>8</v>
      </c>
      <c r="B3" s="1"/>
      <c r="C3" s="1"/>
      <c r="D3" s="1"/>
      <c r="E3" s="1"/>
      <c r="F3" s="1"/>
      <c r="G3" s="1"/>
    </row>
    <row r="4" spans="1:7">
      <c r="A4" s="98">
        <v>3</v>
      </c>
      <c r="B4" s="1"/>
      <c r="C4" s="100" t="s">
        <v>197</v>
      </c>
      <c r="D4" s="100" t="s">
        <v>198</v>
      </c>
      <c r="E4" s="101" t="s">
        <v>199</v>
      </c>
      <c r="F4" s="1"/>
      <c r="G4" s="1"/>
    </row>
    <row r="5" spans="1:7">
      <c r="A5" s="98">
        <v>5</v>
      </c>
      <c r="B5" s="1"/>
      <c r="C5" s="102">
        <v>0</v>
      </c>
      <c r="D5" s="103" t="s">
        <v>198</v>
      </c>
      <c r="E5" s="1" t="s">
        <v>200</v>
      </c>
      <c r="F5" s="1"/>
      <c r="G5" s="1"/>
    </row>
    <row r="6" spans="1:7">
      <c r="A6" s="98">
        <v>3</v>
      </c>
      <c r="B6" s="1"/>
      <c r="C6" s="102">
        <v>1</v>
      </c>
      <c r="D6" s="103" t="s">
        <v>198</v>
      </c>
      <c r="E6" s="1" t="s">
        <v>201</v>
      </c>
      <c r="F6" s="1"/>
      <c r="G6" s="1"/>
    </row>
    <row r="7" spans="1:7">
      <c r="A7" s="98">
        <v>4</v>
      </c>
      <c r="B7" s="1"/>
      <c r="C7" s="1"/>
      <c r="D7" s="1"/>
      <c r="E7" s="1"/>
      <c r="F7" s="1"/>
      <c r="G7" s="1"/>
    </row>
    <row r="8" spans="1:7">
      <c r="A8" s="98">
        <v>9</v>
      </c>
      <c r="B8" s="1"/>
      <c r="C8" s="104" t="s">
        <v>202</v>
      </c>
      <c r="D8" s="1"/>
      <c r="E8" s="1"/>
      <c r="F8" s="1"/>
      <c r="G8" s="1"/>
    </row>
    <row r="9" spans="1:7">
      <c r="A9" s="98">
        <v>9</v>
      </c>
      <c r="B9" s="1"/>
      <c r="C9" s="104" t="s">
        <v>203</v>
      </c>
      <c r="D9" s="1"/>
      <c r="E9" s="1"/>
      <c r="F9" s="1"/>
      <c r="G9" s="1"/>
    </row>
    <row r="10" spans="1:7">
      <c r="A10" s="98">
        <v>5</v>
      </c>
      <c r="B10" s="1"/>
      <c r="C10" s="1"/>
      <c r="D10" s="1"/>
      <c r="E10" s="1"/>
      <c r="F10" s="1"/>
      <c r="G10" s="1"/>
    </row>
    <row r="11" spans="1:7">
      <c r="A11" s="98">
        <v>10</v>
      </c>
      <c r="B11" s="1"/>
      <c r="C11" s="105" t="s">
        <v>204</v>
      </c>
      <c r="D11" s="1"/>
      <c r="E11" s="1"/>
      <c r="F11" s="1"/>
      <c r="G11" s="1"/>
    </row>
    <row r="12" spans="1:7">
      <c r="A12" s="98">
        <v>7</v>
      </c>
      <c r="B12" s="1"/>
      <c r="C12" s="105" t="s">
        <v>205</v>
      </c>
      <c r="D12" s="78">
        <f>COUNTA(A2:A21)</f>
        <v>20</v>
      </c>
      <c r="E12" s="1"/>
      <c r="F12" s="1"/>
      <c r="G12" s="1"/>
    </row>
    <row r="13" spans="1:7">
      <c r="A13" s="98">
        <v>10</v>
      </c>
      <c r="B13" s="1"/>
      <c r="C13" s="105" t="s">
        <v>206</v>
      </c>
      <c r="D13" s="78">
        <f>MIN(A2:A21)</f>
        <v>1</v>
      </c>
      <c r="E13" s="1"/>
      <c r="F13" s="1"/>
      <c r="G13" s="1"/>
    </row>
    <row r="14" spans="1:7">
      <c r="A14" s="98">
        <v>7</v>
      </c>
      <c r="B14" s="1"/>
      <c r="C14" s="105" t="s">
        <v>207</v>
      </c>
      <c r="D14" s="78">
        <f>MAX(A2:A21)</f>
        <v>10</v>
      </c>
      <c r="E14" s="1"/>
      <c r="F14" s="1"/>
      <c r="G14" s="1"/>
    </row>
    <row r="15" spans="1:7">
      <c r="A15" s="98">
        <v>6</v>
      </c>
      <c r="B15" s="1"/>
      <c r="C15" s="105" t="s">
        <v>208</v>
      </c>
      <c r="D15" s="78">
        <f>D14-D13</f>
        <v>9</v>
      </c>
      <c r="E15" s="1"/>
      <c r="F15" s="1"/>
      <c r="G15" s="1"/>
    </row>
    <row r="16" spans="1:7">
      <c r="A16" s="98">
        <v>4</v>
      </c>
      <c r="B16" s="1"/>
      <c r="C16" s="105" t="s">
        <v>209</v>
      </c>
      <c r="D16" s="78">
        <f>MEDIAN(A2:A21)</f>
        <v>6.5</v>
      </c>
      <c r="E16" s="1"/>
      <c r="F16" s="1"/>
      <c r="G16" s="1"/>
    </row>
    <row r="17" spans="1:8">
      <c r="A17" s="98">
        <v>3</v>
      </c>
      <c r="B17" s="1"/>
      <c r="C17" s="105" t="s">
        <v>210</v>
      </c>
      <c r="D17" s="78">
        <f>AVERAGE(A2:A21)</f>
        <v>6</v>
      </c>
      <c r="E17" s="1"/>
      <c r="F17" s="1"/>
      <c r="G17" s="1"/>
    </row>
    <row r="18" spans="1:8">
      <c r="A18" s="98">
        <v>9</v>
      </c>
      <c r="B18" s="1"/>
      <c r="C18" s="1"/>
      <c r="D18" s="1"/>
      <c r="E18" s="1"/>
      <c r="F18" s="1"/>
      <c r="G18" s="1"/>
      <c r="H18" s="1"/>
    </row>
    <row r="19" spans="1:8">
      <c r="A19" s="98">
        <v>8</v>
      </c>
      <c r="B19" s="1"/>
      <c r="C19" s="1"/>
      <c r="D19" s="1"/>
      <c r="E19" s="1"/>
      <c r="F19" s="1"/>
      <c r="G19" s="1"/>
      <c r="H19" s="1"/>
    </row>
    <row r="20" spans="1:8">
      <c r="A20" s="98">
        <v>2</v>
      </c>
      <c r="B20" s="1"/>
      <c r="C20" s="1"/>
      <c r="D20" s="1"/>
      <c r="E20" s="1"/>
      <c r="F20" s="1"/>
      <c r="G20" s="1"/>
      <c r="H20" s="1"/>
    </row>
    <row r="21" spans="1:8">
      <c r="A21" s="98">
        <v>1</v>
      </c>
      <c r="B21" s="1"/>
      <c r="C21" s="1"/>
      <c r="D21" s="1"/>
      <c r="E21" s="1"/>
      <c r="F21" s="1"/>
      <c r="G21" s="1"/>
      <c r="H21" s="1"/>
    </row>
    <row r="22" spans="1:8">
      <c r="D22" s="1"/>
      <c r="E22" s="1"/>
      <c r="F22" s="1"/>
      <c r="G22" s="1"/>
      <c r="H22" s="1"/>
    </row>
    <row r="23" spans="1:8"/>
    <row r="24" spans="1:8"/>
    <row r="25" spans="1:8"/>
    <row r="26" spans="1:8"/>
    <row r="27" spans="1:8" ht="13.2"/>
    <row r="28" spans="1:8" ht="13.2"/>
    <row r="29" spans="1:8" ht="13.2"/>
    <row r="30" spans="1:8" ht="13.2"/>
    <row r="31" spans="1:8" ht="13.2"/>
    <row r="32" spans="1:8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decile</vt:lpstr>
      <vt:lpstr>decile 1</vt:lpstr>
      <vt:lpstr>cohort</vt:lpstr>
      <vt:lpstr>cohort 2</vt:lpstr>
      <vt:lpstr>3 cohorts</vt:lpstr>
      <vt:lpstr>year sum</vt:lpstr>
      <vt:lpstr>histogram</vt:lpstr>
      <vt:lpstr>Sheet6</vt:lpstr>
      <vt:lpstr>2. Bins</vt:lpstr>
      <vt:lpstr>4. Bins</vt:lpstr>
      <vt:lpstr>questions</vt:lpstr>
      <vt:lpstr>5. contingency</vt:lpstr>
      <vt:lpstr>scatterplot 1</vt:lpstr>
      <vt:lpstr>scp2</vt:lpstr>
      <vt:lpstr>scp3</vt:lpstr>
      <vt:lpstr>make it in a different style</vt:lpstr>
      <vt:lpstr>Polygon</vt:lpstr>
      <vt:lpstr>Ogive</vt:lpstr>
      <vt:lpstr>sl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Zhdanov</dc:creator>
  <cp:lastModifiedBy>Daniil Zhdanov</cp:lastModifiedBy>
  <dcterms:created xsi:type="dcterms:W3CDTF">2026-03-11T13:19:58Z</dcterms:created>
  <dcterms:modified xsi:type="dcterms:W3CDTF">2026-03-11T13:19:58Z</dcterms:modified>
</cp:coreProperties>
</file>